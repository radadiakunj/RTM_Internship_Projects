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BOM" sheetId="1" state="visible" r:id="rId1"/>
    <sheet xmlns:r="http://schemas.openxmlformats.org/officeDocument/2006/relationships" name="Power Calculations" sheetId="2" state="visible" r:id="rId2"/>
  </sheets>
  <definedNames>
    <definedName name="_xlnm._FilterDatabase" localSheetId="0" hidden="1">'BOM'!$A$6:$N$32</definedName>
  </definedNames>
  <calcPr calcId="191029" fullCalcOnLoad="1" iterateDelta="0.0001"/>
</workbook>
</file>

<file path=xl/styles.xml><?xml version="1.0" encoding="utf-8"?>
<styleSheet xmlns="http://schemas.openxmlformats.org/spreadsheetml/2006/main">
  <numFmts count="3">
    <numFmt numFmtId="164" formatCode="\₹#,##0"/>
    <numFmt numFmtId="165" formatCode="0.0"/>
    <numFmt numFmtId="166" formatCode="&quot;₹&quot;\ #,##0;[Red]&quot;₹&quot;\ \-#,##0"/>
  </numFmts>
  <fonts count="19">
    <font>
      <name val="Calibri"/>
      <charset val="1"/>
      <family val="2"/>
      <color theme="1"/>
      <sz val="11"/>
    </font>
    <font>
      <name val="Arial"/>
      <charset val="1"/>
      <b val="1"/>
      <color rgb="FFFFFFFF"/>
      <sz val="14"/>
    </font>
    <font>
      <name val="Arial"/>
      <charset val="1"/>
      <i val="1"/>
      <color rgb="FF444441"/>
      <sz val="10"/>
    </font>
    <font>
      <name val="Arial"/>
      <charset val="1"/>
      <b val="1"/>
      <sz val="10"/>
    </font>
    <font>
      <name val="Arial"/>
      <charset val="1"/>
      <sz val="10"/>
    </font>
    <font>
      <name val="Arial"/>
      <charset val="1"/>
      <i val="1"/>
      <color rgb="FF5F5E5A"/>
      <sz val="9"/>
    </font>
    <font>
      <name val="Arial"/>
      <charset val="1"/>
      <b val="1"/>
      <color rgb="FFFFFFFF"/>
      <sz val="10"/>
    </font>
    <font>
      <name val="Arial"/>
      <charset val="1"/>
      <b val="1"/>
      <color rgb="FFFFFFFF"/>
      <sz val="11"/>
    </font>
    <font>
      <name val="Arial"/>
      <charset val="1"/>
      <color rgb="FF0563C1"/>
      <sz val="10"/>
      <u val="single"/>
    </font>
    <font>
      <name val="Arial"/>
      <charset val="1"/>
      <i val="1"/>
      <color rgb="FFA32D2D"/>
      <sz val="9"/>
    </font>
    <font>
      <name val="Arial"/>
      <charset val="1"/>
      <color rgb="FF0000FF"/>
      <sz val="10"/>
    </font>
    <font>
      <name val="Calibri"/>
      <charset val="1"/>
      <family val="2"/>
      <color theme="10"/>
      <sz val="11"/>
      <u val="single"/>
    </font>
    <font>
      <name val="Arial"/>
      <family val="2"/>
      <sz val="10"/>
    </font>
    <font>
      <name val="Arial"/>
      <family val="2"/>
      <b val="1"/>
      <color rgb="FFFFFFFF"/>
      <sz val="10"/>
    </font>
    <font>
      <name val="Arial"/>
      <b val="1"/>
      <color rgb="FFFFFFFF"/>
      <sz val="10"/>
    </font>
    <font>
      <name val="Arial"/>
      <sz val="10"/>
    </font>
    <font>
      <name val="Arial"/>
      <b val="1"/>
      <sz val="10"/>
    </font>
    <font>
      <name val="Arial"/>
      <i val="1"/>
      <color rgb="FFC00000"/>
      <sz val="10"/>
      <u val="single"/>
    </font>
    <font>
      <name val="Arial"/>
      <b val="1"/>
      <color rgb="FFFFFFFF"/>
      <sz val="12"/>
    </font>
  </fonts>
  <fills count="12">
    <fill>
      <patternFill/>
    </fill>
    <fill>
      <patternFill patternType="gray125"/>
    </fill>
    <fill>
      <patternFill patternType="solid">
        <fgColor rgb="FF0F6E56"/>
        <bgColor rgb="FF008080"/>
      </patternFill>
    </fill>
    <fill>
      <patternFill patternType="solid">
        <fgColor rgb="FFFFFFCC"/>
        <bgColor rgb="FFFAEEDA"/>
      </patternFill>
    </fill>
    <fill>
      <patternFill patternType="solid">
        <fgColor rgb="FF085041"/>
        <bgColor rgb="FF0F6E56"/>
      </patternFill>
    </fill>
    <fill>
      <patternFill patternType="solid">
        <fgColor rgb="FF1D9E75"/>
        <bgColor rgb="FF008080"/>
      </patternFill>
    </fill>
    <fill>
      <patternFill patternType="solid">
        <fgColor rgb="FFFAEEDA"/>
        <bgColor rgb="FFFFFFCC"/>
      </patternFill>
    </fill>
    <fill>
      <patternFill patternType="solid">
        <fgColor rgb="FFD3D1C7"/>
        <bgColor rgb="FFFFCC99"/>
      </patternFill>
    </fill>
    <fill>
      <patternFill patternType="solid">
        <fgColor rgb="FFE1F5EE"/>
        <bgColor rgb="FFCCFFFF"/>
      </patternFill>
    </fill>
    <fill>
      <patternFill patternType="solid">
        <fgColor rgb="FF085041"/>
        <bgColor rgb="FF085041"/>
      </patternFill>
    </fill>
    <fill>
      <patternFill patternType="solid">
        <fgColor rgb="FFFAEEDA"/>
        <bgColor rgb="FFFAEEDA"/>
      </patternFill>
    </fill>
    <fill>
      <patternFill patternType="solid">
        <fgColor rgb="FFD3D1C7"/>
        <bgColor rgb="FFD3D1C7"/>
      </patternFill>
    </fill>
  </fills>
  <borders count="11">
    <border>
      <left/>
      <right/>
      <top/>
      <bottom/>
      <diagonal/>
    </border>
    <border>
      <left style="thin">
        <color rgb="FFB4B2A9"/>
      </left>
      <right style="thin">
        <color rgb="FFB4B2A9"/>
      </right>
      <top style="thin">
        <color rgb="FFB4B2A9"/>
      </top>
      <bottom style="thin">
        <color rgb="FFB4B2A9"/>
      </bottom>
      <diagonal/>
    </border>
    <border>
      <left/>
      <right/>
      <top style="thin">
        <color rgb="FFB4B2A9"/>
      </top>
      <bottom/>
      <diagonal/>
    </border>
    <border>
      <left/>
      <right style="thin">
        <color rgb="FFB4B2A9"/>
      </right>
      <top style="thin">
        <color rgb="FFB4B2A9"/>
      </top>
      <bottom/>
      <diagonal/>
    </border>
    <border>
      <left/>
      <right/>
      <top style="thin">
        <color rgb="FFB4B2A9"/>
      </top>
      <bottom style="thin">
        <color rgb="FFB4B2A9"/>
      </bottom>
      <diagonal/>
    </border>
    <border>
      <left/>
      <right style="thin">
        <color rgb="FFB4B2A9"/>
      </right>
      <top style="thin">
        <color rgb="FFB4B2A9"/>
      </top>
      <bottom style="thin">
        <color rgb="FFB4B2A9"/>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3">
    <xf numFmtId="0" fontId="0" fillId="0" borderId="0"/>
    <xf numFmtId="0" fontId="11" fillId="0" borderId="0"/>
    <xf numFmtId="0" fontId="11" fillId="0" borderId="0"/>
  </cellStyleXfs>
  <cellXfs count="85">
    <xf numFmtId="0" fontId="0" fillId="0" borderId="0" pivotButton="0" quotePrefix="0" xfId="0"/>
    <xf numFmtId="0" fontId="3" fillId="0" borderId="0" pivotButton="0" quotePrefix="0" xfId="0"/>
    <xf numFmtId="0" fontId="4" fillId="3" borderId="1" pivotButton="0" quotePrefix="0" xfId="0"/>
    <xf numFmtId="0" fontId="5" fillId="0" borderId="0" pivotButton="0" quotePrefix="0" xfId="0"/>
    <xf numFmtId="0" fontId="5" fillId="0" borderId="0" applyAlignment="1" pivotButton="0" quotePrefix="0" xfId="0">
      <alignment wrapText="1"/>
    </xf>
    <xf numFmtId="0" fontId="6"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164" fontId="4"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164" fontId="3" fillId="7" borderId="1" pivotButton="0" quotePrefix="0" xfId="0"/>
    <xf numFmtId="0" fontId="0" fillId="7" borderId="1" pivotButton="0" quotePrefix="0" xfId="0"/>
    <xf numFmtId="0" fontId="4" fillId="0" borderId="1" pivotButton="0" quotePrefix="0" xfId="0"/>
    <xf numFmtId="2" fontId="10" fillId="3" borderId="1" applyAlignment="1" pivotButton="0" quotePrefix="0" xfId="0">
      <alignment horizontal="center" vertical="center" wrapText="1"/>
    </xf>
    <xf numFmtId="0" fontId="5" fillId="0" borderId="0" applyAlignment="1" pivotButton="0" quotePrefix="0" xfId="0">
      <alignment vertical="center" wrapText="1"/>
    </xf>
    <xf numFmtId="9" fontId="10" fillId="3" borderId="1" applyAlignment="1" pivotButton="0" quotePrefix="0" xfId="0">
      <alignment horizontal="center" vertical="center" wrapText="1"/>
    </xf>
    <xf numFmtId="2" fontId="3" fillId="8" borderId="1" applyAlignment="1" pivotButton="0" quotePrefix="0" xfId="0">
      <alignment horizontal="center" vertical="center" wrapText="1"/>
    </xf>
    <xf numFmtId="0" fontId="4" fillId="0" borderId="0" pivotButton="0" quotePrefix="0" xfId="0"/>
    <xf numFmtId="0" fontId="10" fillId="3" borderId="1" applyAlignment="1" pivotButton="0" quotePrefix="0" xfId="0">
      <alignment horizontal="center" vertical="center" wrapText="1"/>
    </xf>
    <xf numFmtId="1"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3" fillId="0" borderId="1" pivotButton="0" quotePrefix="0" xfId="0"/>
    <xf numFmtId="165" fontId="3" fillId="8" borderId="1" applyAlignment="1" pivotButton="0" quotePrefix="0" xfId="0">
      <alignment horizontal="center" vertical="center" wrapText="1"/>
    </xf>
    <xf numFmtId="0" fontId="11" fillId="0" borderId="0" pivotButton="0" quotePrefix="0" xfId="1"/>
    <xf numFmtId="0" fontId="12" fillId="0" borderId="1" applyAlignment="1" pivotButton="0" quotePrefix="0" xfId="0">
      <alignment horizontal="left" vertical="top" wrapText="1"/>
    </xf>
    <xf numFmtId="0" fontId="11" fillId="0" borderId="1" applyAlignment="1" pivotButton="0" quotePrefix="0" xfId="1">
      <alignment horizontal="center" vertical="center" wrapText="1"/>
    </xf>
    <xf numFmtId="0" fontId="12" fillId="6" borderId="1" applyAlignment="1" pivotButton="0" quotePrefix="0" xfId="0">
      <alignment horizontal="left" vertical="top" wrapText="1"/>
    </xf>
    <xf numFmtId="166" fontId="0" fillId="0" borderId="0" pivotButton="0" quotePrefix="0" xfId="0"/>
    <xf numFmtId="0" fontId="0" fillId="0" borderId="0" applyAlignment="1" pivotButton="0" quotePrefix="0" xfId="0">
      <alignment wrapText="1"/>
    </xf>
    <xf numFmtId="0" fontId="13" fillId="4" borderId="1" applyAlignment="1" pivotButton="0" quotePrefix="0" xfId="0">
      <alignment horizontal="center" vertical="center" wrapText="1"/>
    </xf>
    <xf numFmtId="0" fontId="4" fillId="0" borderId="0" applyAlignment="1" pivotButton="0" quotePrefix="0" xfId="0">
      <alignment horizontal="left" vertical="center" wrapText="1" indent="1"/>
    </xf>
    <xf numFmtId="0" fontId="3" fillId="7" borderId="1" applyAlignment="1" pivotButton="0" quotePrefix="0" xfId="0">
      <alignment horizontal="right" vertical="center" indent="1"/>
    </xf>
    <xf numFmtId="0" fontId="9" fillId="0" borderId="0" applyAlignment="1" pivotButton="0" quotePrefix="0" xfId="0">
      <alignment vertical="center" wrapText="1"/>
    </xf>
    <xf numFmtId="0" fontId="7" fillId="5" borderId="0" applyAlignment="1" pivotButton="0" quotePrefix="0" xfId="0">
      <alignment horizontal="left" vertical="center" indent="1"/>
    </xf>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4" fillId="0" borderId="0" applyAlignment="1" pivotButton="0" quotePrefix="0" xfId="0">
      <alignmen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top" wrapText="1"/>
    </xf>
    <xf numFmtId="164" fontId="4"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14" fillId="9" borderId="6" applyAlignment="1" pivotButton="0" quotePrefix="0" xfId="0">
      <alignment horizontal="center" vertical="center" wrapText="1"/>
    </xf>
    <xf numFmtId="0" fontId="15" fillId="0" borderId="6" applyAlignment="1" pivotButton="0" quotePrefix="0" xfId="0">
      <alignment horizontal="left" vertical="top" wrapText="1"/>
    </xf>
    <xf numFmtId="0" fontId="15" fillId="10" borderId="6" applyAlignment="1" pivotButton="0" quotePrefix="0" xfId="0">
      <alignment horizontal="left" vertical="top" wrapText="1"/>
    </xf>
    <xf numFmtId="166" fontId="0" fillId="0" borderId="0" pivotButton="0" quotePrefix="0" xfId="0"/>
    <xf numFmtId="0" fontId="0" fillId="0" borderId="4" pivotButton="0" quotePrefix="0" xfId="0"/>
    <xf numFmtId="0" fontId="0" fillId="0" borderId="5" pivotButton="0" quotePrefix="0" xfId="0"/>
    <xf numFmtId="0" fontId="0" fillId="11" borderId="0" pivotButton="0" quotePrefix="0" xfId="0"/>
    <xf numFmtId="0" fontId="15" fillId="10" borderId="6" applyAlignment="1" pivotButton="0" quotePrefix="0" xfId="0">
      <alignment horizontal="center" vertical="center" wrapText="1"/>
    </xf>
    <xf numFmtId="0" fontId="15" fillId="10" borderId="6" applyAlignment="1" pivotButton="0" quotePrefix="0" xfId="0">
      <alignment horizontal="center" vertical="top" wrapText="1"/>
    </xf>
    <xf numFmtId="0" fontId="16" fillId="11" borderId="6" pivotButton="0" quotePrefix="0" xfId="0"/>
    <xf numFmtId="0" fontId="0" fillId="0" borderId="9" pivotButton="0" quotePrefix="0" xfId="0"/>
    <xf numFmtId="0" fontId="0" fillId="0" borderId="10" pivotButton="0" quotePrefix="0" xfId="0"/>
    <xf numFmtId="0" fontId="16" fillId="11" borderId="6" applyAlignment="1" pivotButton="0" quotePrefix="0" xfId="0">
      <alignment horizontal="center" vertical="center"/>
    </xf>
    <xf numFmtId="0" fontId="17" fillId="0" borderId="0" applyAlignment="1" pivotButton="0" quotePrefix="0" xfId="0">
      <alignment horizontal="left" vertical="center" wrapText="1"/>
    </xf>
    <xf numFmtId="0" fontId="18" fillId="9" borderId="0" applyAlignment="1" pivotButton="0" quotePrefix="0" xfId="0">
      <alignment horizontal="left" vertical="center"/>
    </xf>
    <xf numFmtId="0" fontId="15" fillId="0" borderId="0" applyAlignment="1" pivotButton="0" quotePrefix="0" xfId="0">
      <alignment horizontal="left" vertical="center" wrapText="1"/>
    </xf>
  </cellXfs>
  <cellStyles count="3">
    <cellStyle name="Normal" xfId="0" builtinId="0"/>
    <cellStyle name="Hyperlink" xfId="1" builtinId="8"/>
    <cellStyle name="Hyperlink 2"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B4B2A9"/>
      <rgbColor rgb="FF808080"/>
      <rgbColor rgb="FF9999FF"/>
      <rgbColor rgb="FF993366"/>
      <rgbColor rgb="FFFFFFCC"/>
      <rgbColor rgb="FFE1F5EE"/>
      <rgbColor rgb="FF660066"/>
      <rgbColor rgb="FFFF8080"/>
      <rgbColor rgb="FF0563C1"/>
      <rgbColor rgb="FFD3D1C7"/>
      <rgbColor rgb="FF000080"/>
      <rgbColor rgb="FFFF00FF"/>
      <rgbColor rgb="FFFFFF00"/>
      <rgbColor rgb="FF00FFFF"/>
      <rgbColor rgb="FF800080"/>
      <rgbColor rgb="FF800000"/>
      <rgbColor rgb="FF008080"/>
      <rgbColor rgb="FF0000FF"/>
      <rgbColor rgb="FF00CCFF"/>
      <rgbColor rgb="FFCCFFFF"/>
      <rgbColor rgb="FFCCFFCC"/>
      <rgbColor rgb="FFFAEEDA"/>
      <rgbColor rgb="FF99CCFF"/>
      <rgbColor rgb="FFFF99CC"/>
      <rgbColor rgb="FFCC99FF"/>
      <rgbColor rgb="FFFFCC99"/>
      <rgbColor rgb="FF3366FF"/>
      <rgbColor rgb="FF33CCCC"/>
      <rgbColor rgb="FF99CC00"/>
      <rgbColor rgb="FFFFCC00"/>
      <rgbColor rgb="FFFF9900"/>
      <rgbColor rgb="FFFF6600"/>
      <rgbColor rgb="FF5F5E5A"/>
      <rgbColor rgb="FF969696"/>
      <rgbColor rgb="FF085041"/>
      <rgbColor rgb="FF1D9E75"/>
      <rgbColor rgb="FF003300"/>
      <rgbColor rgb="FF333300"/>
      <rgbColor rgb="FFA32D2D"/>
      <rgbColor rgb="FF993366"/>
      <rgbColor rgb="FF333399"/>
      <rgbColor rgb="FF44444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bu.in/product/esp-wroom-32-wifi-bluetooth-networking-smart-component-development-board/?gad_source=1&amp;gad_campaignid=17413441824&amp;gbraid=0AAAAADvLFWeP8wDWfxeMsMMM4thbSqOeq" TargetMode="External" Id="rId1"/><Relationship Type="http://schemas.openxmlformats.org/officeDocument/2006/relationships/hyperlink" Target="https://robu.in/product/white-type-c-cable-1m-for-arduino-nano-v3-0/" TargetMode="External" Id="rId2"/><Relationship Type="http://schemas.openxmlformats.org/officeDocument/2006/relationships/hyperlink" Target="https://robocraze.com/products/3-7v-1200mah-18650-battery?variant=44016221126880&amp;country=IN&amp;currency=INR&amp;utm_medium=product_sync&amp;utm_source=google&amp;utm_content=sag_organic&amp;utm_campaign=sag_organic&amp;utm_source=google&amp;utm_medium=cpc&amp;utm_campaign=BL+%7C+Pmax+%7C+Feed+Only+%7C+RoboCraze+%7C+Electronic+Components+%7C+31%2F05&amp;utm_source=googleads&amp;utm_medium=ppc&amp;utm_campaign=21337209786&amp;utm_content=_&amp;utm_term=&amp;campaignid=21337209786&amp;adgroupid=&amp;campaign=21337209786&amp;gad_source=1&amp;gad_campaignid=21343423652&amp;gbraid=0AAAAADgHQvYFp6Alj2lS7xiKfJsw_jj02" TargetMode="External" Id="rId3"/><Relationship Type="http://schemas.openxmlformats.org/officeDocument/2006/relationships/hyperlink" Target="https://www.flyrobo.in/2s-4a-18650-polymer-lithium-ion-charger-type-c-2s-8.4v-4a-booster-module" TargetMode="External" Id="rId4"/><Relationship Type="http://schemas.openxmlformats.org/officeDocument/2006/relationships/hyperlink" Target="https://www.amazon.in/SP-Electron-Jumper-Female-breadboard/dp/B0H3PT1D3S?source=ps-sl-shoppingads-lpcontext&amp;ref_=fplfs&amp;psc=1&amp;smid=A3C7Z4RVM9A3G1" TargetMode="External" Id="rId5"/><Relationship Type="http://schemas.openxmlformats.org/officeDocument/2006/relationships/hyperlink" Target="https://robu.in/product/dht22-am2302-digital-temperature-humidity-sensor/" TargetMode="External" Id="rId6"/><Relationship Type="http://schemas.openxmlformats.org/officeDocument/2006/relationships/hyperlink" Target="https://robocraze.com/products/330-ohm-resistor-pack-of-10?variant=40194238152857&amp;country=IN&amp;currency=INR&amp;utm_medium=product_sync&amp;utm_source=google&amp;utm_content=sag_organic&amp;utm_campaign=sag_organic" TargetMode="External" Id="rId7"/><Relationship Type="http://schemas.openxmlformats.org/officeDocument/2006/relationships/hyperlink" Target="https://robu.in/product/red-3-9v-10mm-led-metal-indicator-light-with-15cm-cable/" TargetMode="External" Id="rId8"/><Relationship Type="http://schemas.openxmlformats.org/officeDocument/2006/relationships/hyperlink" Target="https://robu.in/product/breadboard-840-tie-points-solderless-diy-project-circuit-test-breadboard/?gad_source=1&amp;gad_campaignid=17427802703&amp;gbraid=0AAAAADvLFWfJDkZFw6RNLqrX8I4huRCzB" TargetMode="External" Id="rId9"/><Relationship Type="http://schemas.openxmlformats.org/officeDocument/2006/relationships/hyperlink" Target="https://robu.in/product/black-r13-502-12mm-2pin-momentary-self-reset-round-cap-push-button-switch/" TargetMode="External" Id="rId10"/><Relationship Type="http://schemas.openxmlformats.org/officeDocument/2006/relationships/hyperlink" Target="https://robocraze.com/products/lm2596-dc-dc-buck-module?variant=40192693076121&amp;country=IN&amp;currency=INR&amp;utm_medium=product_sync&amp;utm_source=google&amp;utm_content=sag_organic&amp;utm_campaign=sag_organic&amp;utm_source=google&amp;utm_medium=cpc&amp;utm_campaign=BL+%7C+Pmax+%7C+Feed+Only+%7C+Display+%7C+31%2F05&amp;utm_source=googleads&amp;utm_medium=ppc&amp;utm_campaign=21404823038&amp;utm_content=_&amp;utm_term=&amp;campaignid=21404823038&amp;adgroupid=&amp;campaign=21404823038&amp;gad_source=1&amp;gad_campaignid=21408878617&amp;gbraid=0AAAAADgHQvb-kj4B-dpghlfko_fbrccRp" TargetMode="External" Id="rId11"/><Relationship Type="http://schemas.openxmlformats.org/officeDocument/2006/relationships/hyperlink" Target="https://robu.in/product/1n5819-taiwan-semiconductor-1n5819-schottky-rectifier-40-v-1-a-single-do-41-do-204al-2-pins-900-mv/" TargetMode="External" Id="rId12"/><Relationship Type="http://schemas.openxmlformats.org/officeDocument/2006/relationships/hyperlink" Target="https://robu.in/product/aluminum-electrolytic-12-kinds-0-22&#956;f-470&#956;f-capacitor-assorted-kit/" TargetMode="External" Id="rId13"/><Relationship Type="http://schemas.openxmlformats.org/officeDocument/2006/relationships/hyperlink" Target="https://robu.in/product/aluminum-electrolytic-12-kinds-0-22&#956;f-470&#956;f-capacitor-assorted-kit/" TargetMode="External" Id="rId14"/><Relationship Type="http://schemas.openxmlformats.org/officeDocument/2006/relationships/hyperlink" Target="https://robu.in/product/ceramic-capacitor-assorted-kit-30-kinds-from-2pf-0-1uf/" TargetMode="External" Id="rId15"/><Relationship Type="http://schemas.openxmlformats.org/officeDocument/2006/relationships/hyperlink" Target="https://robu.in/product/pro-range-120pcs-m3-hexagon-copper-pillar-screw-kit/" TargetMode="External" Id="rId16"/><Relationship Type="http://schemas.openxmlformats.org/officeDocument/2006/relationships/hyperlink" Target="https://robu.in/product/easymech-m3-ms-plain-washer-100pcs/" TargetMode="External" Id="rId17"/><Relationship Type="http://schemas.openxmlformats.org/officeDocument/2006/relationships/hyperlink" Target="https://robu.in/product/easymech-m3-ms-plain-washer-100pcs/" TargetMode="External" Id="rId18"/><Relationship Type="http://schemas.openxmlformats.org/officeDocument/2006/relationships/hyperlink" Target="https://robu.in/product/1006850mm-transparent-cover-plastic-junction-box/" TargetMode="External" Id="rId19"/><Relationship Type="http://schemas.openxmlformats.org/officeDocument/2006/relationships/hyperlink" Target="https://robu.in/product/colorful-heat-shrink-tubing-hst-insulation-assorted-kit-90-mm-length-168pcs/" TargetMode="External" Id="rId20"/><Relationship Type="http://schemas.openxmlformats.org/officeDocument/2006/relationships/hyperlink" Target="https://robu.in/product/colorful-heat-shrink-tubing-hst-insulation-assorted-kit-90-mm-length-168pcs/" TargetMode="External" Id="rId21"/></Relationships>
</file>

<file path=xl/worksheets/sheet1.xml><?xml version="1.0" encoding="utf-8"?>
<worksheet xmlns="http://schemas.openxmlformats.org/spreadsheetml/2006/main">
  <sheetPr>
    <outlinePr summaryBelow="1" summaryRight="1"/>
    <pageSetUpPr/>
  </sheetPr>
  <dimension ref="A1:N45"/>
  <sheetViews>
    <sheetView tabSelected="1" zoomScaleNormal="100" workbookViewId="0">
      <pane ySplit="6" topLeftCell="A24" activePane="bottomLeft" state="frozen"/>
      <selection pane="bottomLeft" activeCell="I28" sqref="I28"/>
    </sheetView>
  </sheetViews>
  <sheetFormatPr baseColWidth="8" defaultColWidth="8.6640625" defaultRowHeight="14.4"/>
  <cols>
    <col width="6" customWidth="1" min="1" max="1"/>
    <col width="14" customWidth="1" min="2" max="3"/>
    <col width="28" customWidth="1" min="4" max="4"/>
    <col width="30" customWidth="1" min="5" max="5"/>
    <col width="6" customWidth="1" min="6" max="6"/>
    <col width="13" customWidth="1" min="7" max="8"/>
    <col width="34" customWidth="1" min="9" max="9"/>
    <col width="12" customWidth="1" min="10" max="10"/>
    <col width="30" customWidth="1" min="11" max="12"/>
    <col width="14" customWidth="1" min="13" max="13"/>
    <col width="46" customWidth="1" min="14" max="14"/>
  </cols>
  <sheetData>
    <row r="1" ht="24" customHeight="1">
      <c r="A1" s="38" t="inlineStr">
        <is>
          <t>ESP32 Integration BOM — Rhino Forklift AMR</t>
        </is>
      </c>
    </row>
    <row r="2" ht="27.75" customHeight="1">
      <c r="A2" s="39" t="inlineStr">
        <is>
          <t>Bench Prototype (validate logic/comms on desk) → Field Deployment (vehicle-mounted). Decide interface (WiFi API vs hardwired) and power strategy with Reeman before finalizing Field stage.</t>
        </is>
      </c>
    </row>
    <row r="4" ht="69.59999999999999" customHeight="1">
      <c r="A4" s="1" t="inlineStr">
        <is>
          <t>USD→INR rate:</t>
        </is>
      </c>
      <c r="B4" s="2" t="n">
        <v>95.5</v>
      </c>
      <c r="C4" s="3" t="inlineStr">
        <is>
          <t>(mid-market, ~Jul 2026 — edit if needed)</t>
        </is>
      </c>
      <c r="D4" s="4" t="inlineStr">
        <is>
          <t>Prices verified live from Robu.in on 16 Jul 2026 for rows 1, 4, and the DHT22 row. Rows marked “Estimate” or “Approx” could not be pinned to one exact SKU/price and should be confirmed at checkout.</t>
        </is>
      </c>
    </row>
    <row r="6" ht="30" customHeight="1">
      <c r="A6" s="5" t="inlineStr">
        <is>
          <t>Sr No</t>
        </is>
      </c>
      <c r="B6" s="5" t="inlineStr">
        <is>
          <t>Stage</t>
        </is>
      </c>
      <c r="C6" s="5" t="inlineStr">
        <is>
          <t>Category</t>
        </is>
      </c>
      <c r="D6" s="5" t="inlineStr">
        <is>
          <t>Component</t>
        </is>
      </c>
      <c r="E6" s="5" t="inlineStr">
        <is>
          <t>Specification</t>
        </is>
      </c>
      <c r="F6" s="5" t="inlineStr">
        <is>
          <t>Qty</t>
        </is>
      </c>
      <c r="G6" s="5" t="inlineStr">
        <is>
          <t>Unit Price (INR)</t>
        </is>
      </c>
      <c r="H6" s="5" t="inlineStr">
        <is>
          <t>Total Price (INR)</t>
        </is>
      </c>
      <c r="I6" s="33" t="inlineStr">
        <is>
          <t>Purpose / Function</t>
        </is>
      </c>
      <c r="J6" s="5" t="inlineStr">
        <is>
          <t>Platform</t>
        </is>
      </c>
      <c r="K6" s="5" t="inlineStr">
        <is>
          <t>Buy Link</t>
        </is>
      </c>
      <c r="L6" s="5" t="inlineStr">
        <is>
          <t>Alternative</t>
        </is>
      </c>
      <c r="M6" s="5" t="inlineStr">
        <is>
          <t>Status</t>
        </is>
      </c>
      <c r="N6" s="69" t="inlineStr">
        <is>
          <t>Comments (Reason for Component Selection)</t>
        </is>
      </c>
    </row>
    <row r="7" ht="18" customHeight="1">
      <c r="A7" s="37" t="inlineStr">
        <is>
          <t>BENCH PROTOTYPE</t>
        </is>
      </c>
    </row>
    <row r="8" ht="42" customHeight="1">
      <c r="A8" s="6" t="n">
        <v>1</v>
      </c>
      <c r="B8" s="6" t="inlineStr">
        <is>
          <t>Bench Prototype</t>
        </is>
      </c>
      <c r="C8" s="7" t="inlineStr">
        <is>
          <t>Core Controller</t>
        </is>
      </c>
      <c r="D8" s="28" t="inlineStr">
        <is>
          <t>ESP32-WROOM-32 DevKit (USB-C)</t>
        </is>
      </c>
      <c r="E8" s="7" t="inlineStr">
        <is>
          <t>38-pin, WiFi + Bluetooth, dual core, CH340/CP2102 USB-UART</t>
        </is>
      </c>
      <c r="F8" s="6" t="n">
        <v>1</v>
      </c>
      <c r="G8" s="8" t="n">
        <v>400</v>
      </c>
      <c r="H8" s="8">
        <f>F8*G8</f>
        <v/>
      </c>
      <c r="I8" s="7" t="inlineStr">
        <is>
          <t>Brain of the integration — joins AMR's WiFi, runs MQTT client, decodes keypress commands</t>
        </is>
      </c>
      <c r="J8" s="6" t="inlineStr">
        <is>
          <t>Robu.in</t>
        </is>
      </c>
      <c r="K8" s="29" t="inlineStr">
        <is>
          <t>https://robu.in/product/esp-wroom-32-wifi-bluetooth-networking-smart-component-development-board/?gad_source=1&amp;gad_campaignid=17413441824&amp;gbraid=0AAAAADvLFWeP8wDWfxeMsMMM4thbSqOeq</t>
        </is>
      </c>
      <c r="L8" s="7" t="inlineStr">
        <is>
          <t>ESP32-S3 DevKit if more GPIO/native USB needed</t>
        </is>
      </c>
      <c r="M8" s="6" t="inlineStr">
        <is>
          <t>Verified price</t>
        </is>
      </c>
      <c r="N8" s="70" t="inlineStr">
        <is>
          <t>Chose the WROOM-32 (not the S3) because dual-core + native WiFi/BT covers everything this build needs — WiFi/MQTT client, GPIO for buttons/LEDs, DHT22 read — without paying for the S3's extra native-USB/AI features this project doesn't use. USB-C DevKit form also means no separate USB-serial dongle.</t>
        </is>
      </c>
    </row>
    <row r="9" ht="42" customHeight="1">
      <c r="A9" s="6" t="n">
        <v>2</v>
      </c>
      <c r="B9" s="6" t="inlineStr">
        <is>
          <t>Bench Prototype</t>
        </is>
      </c>
      <c r="C9" s="7" t="inlineStr">
        <is>
          <t>Power (dev)</t>
        </is>
      </c>
      <c r="D9" s="7" t="inlineStr">
        <is>
          <t>USB-A to USB-C cable, 1m</t>
        </is>
      </c>
      <c r="E9" s="7" t="inlineStr">
        <is>
          <t>Standard data + power cable</t>
        </is>
      </c>
      <c r="F9" s="6" t="n">
        <v>1</v>
      </c>
      <c r="G9" s="8" t="n">
        <v>65</v>
      </c>
      <c r="H9" s="8">
        <f>F9*G9</f>
        <v/>
      </c>
      <c r="I9" s="7" t="inlineStr">
        <is>
          <t>Powers and programs the ESP32 from the laptop without touching the AMR's power bus at all</t>
        </is>
      </c>
      <c r="J9" s="6" t="inlineStr">
        <is>
          <t>Robu.in</t>
        </is>
      </c>
      <c r="K9" s="9" t="inlineStr">
        <is>
          <t>Open product page</t>
        </is>
      </c>
      <c r="L9" s="7" t="inlineStr">
        <is>
          <t>Any quality USB-A to USB-C cable works</t>
        </is>
      </c>
      <c r="M9" s="6" t="inlineStr">
        <is>
          <t>Verified price</t>
        </is>
      </c>
      <c r="N9" s="70" t="inlineStr">
        <is>
          <t>A plain USB-A to USB-C cable was picked deliberately over any USB power/data cable that also touches the AMR — this keeps programming and bench power completely isolated from the AMR's own power bus while testing logic.</t>
        </is>
      </c>
    </row>
    <row r="10" ht="42" customHeight="1">
      <c r="A10" s="6" t="n">
        <v>3</v>
      </c>
      <c r="B10" s="6" t="inlineStr">
        <is>
          <t>Bench Prototype</t>
        </is>
      </c>
      <c r="C10" s="7" t="inlineStr">
        <is>
          <t>Power (dev)</t>
        </is>
      </c>
      <c r="D10" s="28" t="inlineStr">
        <is>
          <t>18650 Li-ion protected cell, 3.7V ~1200mAh</t>
        </is>
      </c>
      <c r="E10" s="7" t="inlineStr">
        <is>
          <t>Buy 2x — brand-dependent, no single fixed listing</t>
        </is>
      </c>
      <c r="F10" s="6" t="n">
        <v>2</v>
      </c>
      <c r="G10" s="8" t="n">
        <v>55</v>
      </c>
      <c r="H10" s="8">
        <f>F10*G10</f>
        <v/>
      </c>
      <c r="I10" s="7" t="inlineStr">
        <is>
          <t>The actual energy storage — goes into the parallel holder below, not wired directly to the ESP32</t>
        </is>
      </c>
      <c r="J10" s="6" t="inlineStr">
        <is>
          <t>robocraze.com</t>
        </is>
      </c>
      <c r="K10" s="29" t="inlineStr">
        <is>
          <t>https://robocraze.com/products/3-7v-1200mah-18650-battery?variant=44016221126880&amp;country=IN&amp;currency=INR&amp;utm_medium=product_sync&amp;utm_source=google&amp;utm_content=sag_organic&amp;utm_campaign=sag_organic&amp;utm_source=google&amp;utm_medium=cpc&amp;utm_campaign=BL+%7C+Pmax+%7C+Feed+Only+%7C+RoboCraze+%7C+Electronic+Components+%7C+31%2F05&amp;utm_source=googleads&amp;utm_medium=ppc&amp;utm_campaign=21337209786&amp;utm_content=_&amp;utm_term=&amp;campaignid=21337209786&amp;adgroupid=&amp;campaign=21337209786&amp;gad_source=1&amp;gad_campaignid=21343423652&amp;gbraid=0AAAAADgHQvYFp6Alj2lS7xiKfJsw_jj02</t>
        </is>
      </c>
      <c r="L10" s="7" t="inlineStr">
        <is>
          <t>Any protected 18650 from a known brand (Samsung, LG, Molicel) — avoid unbranded/unprotected cells</t>
        </is>
      </c>
      <c r="M10" s="6" t="inlineStr">
        <is>
          <t>Estimate — price varies by brand</t>
        </is>
      </c>
      <c r="N10" s="70" t="inlineStr">
        <is>
          <t>Went with protected 18650 cells (not unprotected/bare cells) specifically because this pack will end up running unattended on a moving vehicle — the built-in over-discharge/short-circuit protection matters here. Sized at 2 cells based on the runtime math already worked out for the ESP32's MQTT/WiFi duty cycle, rather than over-buying capacity.</t>
        </is>
      </c>
    </row>
    <row r="11" ht="42" customHeight="1">
      <c r="A11" s="6" t="n">
        <v>4</v>
      </c>
      <c r="B11" s="6" t="inlineStr">
        <is>
          <t>Bench Prototype</t>
        </is>
      </c>
      <c r="C11" s="7" t="inlineStr">
        <is>
          <t>Power (dev)</t>
        </is>
      </c>
      <c r="D11" s="28" t="inlineStr">
        <is>
          <t>2S-4A |18650 Polymer Lithium Ion Charger Type C to 2S 8.4V 4A Booster Module</t>
        </is>
      </c>
      <c r="E11" s="7" t="inlineStr">
        <is>
          <t>Confirm listing explicitly says "parallel", not series — see warning below</t>
        </is>
      </c>
      <c r="F11" s="6" t="n">
        <v>1</v>
      </c>
      <c r="G11" s="8" t="n">
        <v>60</v>
      </c>
      <c r="H11" s="8">
        <f>F11*G11</f>
        <v/>
      </c>
      <c r="I11" s="7" t="inlineStr">
        <is>
          <t>Holds the 2 cells side by side in parallel so their combined output stays at 3.7–4.2V, ready for the boost module</t>
        </is>
      </c>
      <c r="J11" s="6" t="inlineStr">
        <is>
          <t>flyrobo.in</t>
        </is>
      </c>
      <c r="K11" s="29" t="inlineStr">
        <is>
          <t>https://www.flyrobo.in/2s-4a-18650-polymer-lithium-ion-charger-type-c-2s-8.4v-4a-booster-module</t>
        </is>
      </c>
      <c r="L11" s="7" t="inlineStr">
        <is>
          <t>A 3-cell version of the same parallel holder works too — just changes capacity</t>
        </is>
      </c>
      <c r="M11" s="6" t="inlineStr">
        <is>
          <t>Estimate — confirm exact listing</t>
        </is>
      </c>
      <c r="N11" s="70" t="inlineStr">
        <is>
          <t>This holder/booster was chosen specifically because its listing states PARALLEL wiring, not series — parallel keeps the raw cell output in the safe 3.7–4.2V band that feeds cleanly into the LM2596 below. A series 2-cell holder (7.4V raw) was deliberately avoided since that would risk damaging the ESP32 if ever connected directly. It also folds in the Type-C charging circuit, avoiding a separate charger module.</t>
        </is>
      </c>
    </row>
    <row r="12" ht="42" customHeight="1">
      <c r="A12" s="6" t="n">
        <v>5</v>
      </c>
      <c r="B12" s="6" t="inlineStr">
        <is>
          <t>Bench Prototype</t>
        </is>
      </c>
      <c r="C12" s="7" t="inlineStr">
        <is>
          <t>Power Distribution</t>
        </is>
      </c>
      <c r="D12" s="28" t="inlineStr">
        <is>
          <t>Male-to-Male, Female to Female, Male to Female jumper wires, 10+10+10 pcs pack</t>
        </is>
      </c>
      <c r="E12" s="28" t="inlineStr">
        <is>
          <t>20cm, 2.54mm DuPont, use 6 of the 40</t>
        </is>
      </c>
      <c r="F12" s="6" t="n">
        <v>1</v>
      </c>
      <c r="G12" s="8" t="n">
        <v>54</v>
      </c>
      <c r="H12" s="8">
        <f>F12*G12</f>
        <v/>
      </c>
      <c r="I12" s="7" t="inlineStr">
        <is>
          <t>Quick, reconfigurable bench wiring — fine for desk use, not for the vehicle-mounted stage (see Q4)</t>
        </is>
      </c>
      <c r="J12" s="6" t="inlineStr">
        <is>
          <t>Amazon.in</t>
        </is>
      </c>
      <c r="K12" s="29" t="inlineStr">
        <is>
          <t>https://www.amazon.in/SP-Electron-Jumper-Female-breadboard/dp/B0H3PT1D3S?source=ps-sl-shoppingads-lpcontext&amp;ref_=fplfs&amp;psc=1&amp;smid=A3C7Z4RVM9A3G1</t>
        </is>
      </c>
      <c r="L12" s="28" t="inlineStr">
        <is>
          <t>n/a for this stage</t>
        </is>
      </c>
      <c r="M12" s="6" t="inlineStr">
        <is>
          <t>Verified price</t>
        </is>
      </c>
      <c r="N12" s="70" t="inlineStr">
        <is>
          <t>Jumper wires were chosen only for the bench-prototype stage — fastest way to reconfigure the circuit while logic/comms are still being tested. Deliberately not used for the field-deployment (vehicle-mounted) stage; heat-shrink-protected soldered joints (row 18) replace these once wiring is finalized.</t>
        </is>
      </c>
    </row>
    <row r="13" ht="18" customHeight="1">
      <c r="A13" s="37" t="inlineStr">
        <is>
          <t>RECOMMENDED ADDITION — environmental + AMR-body sensing</t>
        </is>
      </c>
    </row>
    <row r="14" ht="42" customHeight="1">
      <c r="A14" s="65" t="n">
        <v>6</v>
      </c>
      <c r="B14" s="65" t="inlineStr">
        <is>
          <t>Recommended Addition</t>
        </is>
      </c>
      <c r="C14" s="66" t="inlineStr">
        <is>
          <t>Sensor</t>
        </is>
      </c>
      <c r="D14" s="30" t="inlineStr">
        <is>
          <t>DHT22 digital temperature &amp; humidity sensor</t>
        </is>
      </c>
      <c r="E14" s="66" t="inlineStr">
        <is>
          <t>3–5V, single-wire digital out, ±0.5°C, ±2–5%RH, PCB breakout with built-in pull-up</t>
        </is>
      </c>
      <c r="F14" s="65" t="n">
        <v>1</v>
      </c>
      <c r="G14" s="67" t="n">
        <v>125</v>
      </c>
      <c r="H14" s="67">
        <f>F14*G14</f>
        <v/>
      </c>
      <c r="I14" s="66" t="inlineStr">
        <is>
          <t>Reads AMBIENT air temperature/humidity, since the Rhino AMR's spec sheet lists no such sensor — confirmed in Q4</t>
        </is>
      </c>
      <c r="J14" s="65" t="inlineStr">
        <is>
          <t>Robu.in</t>
        </is>
      </c>
      <c r="K14" s="68" t="inlineStr">
        <is>
          <t>Open product page</t>
        </is>
      </c>
      <c r="L14" s="66" t="inlineStr">
        <is>
          <t>DHT11 (~₹60–80, less accurate) if budget-critical; SHT31 I2C (~₹300–500) if higher accuracy is worth the cost later</t>
        </is>
      </c>
      <c r="M14" s="65" t="inlineStr">
        <is>
          <t>Verified price</t>
        </is>
      </c>
      <c r="N14" s="71" t="inlineStr">
        <is>
          <t>DHT22 was chosen over the cheaper DHT11 after confirming the Rhino AMR's own spec sheet has no ambient temperature/humidity sensor — so this fills a real gap. Picked DHT22 specifically for its tighter accuracy (±0.5°C / ±2–5%RH vs DHT11's ±2°C), since the extra ~₹50–60 was judged worth it for reliable environmental logging; SHT31 I2C was considered but held back as a later upgrade path rather than a day-one need.</t>
        </is>
      </c>
    </row>
    <row r="15" ht="18" customHeight="1">
      <c r="A15" s="37" t="inlineStr">
        <is>
          <t>FIELD DEPLOYMENT — wiring upgrade for vehicle-mounted stage (see Q4)</t>
        </is>
      </c>
    </row>
    <row r="16">
      <c r="A16" t="n">
        <v>7</v>
      </c>
      <c r="B16" t="inlineStr">
        <is>
          <t>LED functioning</t>
        </is>
      </c>
      <c r="C16" t="inlineStr">
        <is>
          <t>LED ON/OFF</t>
        </is>
      </c>
      <c r="D16" t="inlineStr">
        <is>
          <t>330 Ohm Resistor</t>
        </is>
      </c>
      <c r="E16" t="inlineStr">
        <is>
          <t>300 Ohm, dimensions 3 x 1 x 1cms, 	5 grams weight</t>
        </is>
      </c>
      <c r="F16" t="n">
        <v>3</v>
      </c>
      <c r="G16" s="72" t="n">
        <v>13</v>
      </c>
      <c r="H16" s="72" t="n">
        <v>13</v>
      </c>
      <c r="I16" t="inlineStr">
        <is>
          <t>To protect sensitive parts by limiting currents</t>
        </is>
      </c>
      <c r="J16" t="inlineStr">
        <is>
          <t>robocraze.com</t>
        </is>
      </c>
      <c r="K16" s="27" t="inlineStr">
        <is>
          <t>https://robocraze.com/products/330-ohm-resistor-pack-of-10?variant=40194238152857&amp;country=IN&amp;currency=INR&amp;utm_medium=product_sync&amp;utm_source=google&amp;utm_content=sag_organic&amp;utm_campaign=sag_organic</t>
        </is>
      </c>
      <c r="N16" s="70" t="inlineStr">
        <is>
          <t>330Ω is the standard current-limiting value matched to the specific red/green LEDs used here — protects both the LEDs and the ESP32 GPIO pins from excess current without dimming the LEDs too much to be useful as a status indicator.</t>
        </is>
      </c>
    </row>
    <row r="17" ht="21.6" customHeight="1">
      <c r="A17" t="n">
        <v>8</v>
      </c>
      <c r="B17" t="inlineStr">
        <is>
          <t>LED's</t>
        </is>
      </c>
      <c r="C17" t="inlineStr">
        <is>
          <t>LED</t>
        </is>
      </c>
      <c r="D17" t="inlineStr">
        <is>
          <t>Red and Green LED's</t>
        </is>
      </c>
      <c r="E17" s="32" t="inlineStr">
        <is>
          <t xml:space="preserve">
Brand	UNIVERSAL HUB
Light Type	LED
Special Feature	High Efficiency
Bulb Shape Size	G40
Light Colour	Multicolor (Red, Green, Blue, Milky White, Yellow)
Voltage	0.5 Volts (DC)
Net Quantity	1.00 Count</t>
        </is>
      </c>
      <c r="F17" t="n">
        <v>4</v>
      </c>
      <c r="G17" s="72" t="n">
        <v>119</v>
      </c>
      <c r="H17" s="72" t="n">
        <v>476</v>
      </c>
      <c r="I17" t="inlineStr">
        <is>
          <t>To know that the signals are working in the form of generating lights</t>
        </is>
      </c>
      <c r="J17" t="inlineStr">
        <is>
          <t>Amazon.in</t>
        </is>
      </c>
      <c r="K17" s="27" t="inlineStr">
        <is>
          <t>https://robu.in/product/red-3-9v-10mm-led-metal-indicator-light-with-15cm-cable/</t>
        </is>
      </c>
      <c r="N17" s="70" t="inlineStr">
        <is>
          <t>Two-color (red/green) status LEDs were chosen so system state — connected/running vs stopped/error — is readable at a glance on the vehicle itself, without needing a laptop or the Serial Monitor open.</t>
        </is>
      </c>
    </row>
    <row r="18" ht="32.4" customHeight="1">
      <c r="A18" t="n">
        <v>9</v>
      </c>
      <c r="B18" t="inlineStr">
        <is>
          <t>Breadboard</t>
        </is>
      </c>
      <c r="C18" t="inlineStr">
        <is>
          <t>Breaboard</t>
        </is>
      </c>
      <c r="D18" t="inlineStr">
        <is>
          <t>Breadboard</t>
        </is>
      </c>
      <c r="E18" s="32" t="inlineStr">
        <is>
          <t>Item Type:	Breadboard, Solderless Type
No. of Points:	840
Material:	ABS
Dimensions (LxWxH) cm	17 x 6.4
Weight (g):	82</t>
        </is>
      </c>
      <c r="F18" t="n">
        <v>1</v>
      </c>
      <c r="G18" s="72" t="n">
        <v>59</v>
      </c>
      <c r="H18" s="72" t="n">
        <v>59</v>
      </c>
      <c r="I18" t="inlineStr">
        <is>
          <t>A breadboard is a reusable prototyping board used to build, test, and troubleshoot temporary electronic circuits without soldering.</t>
        </is>
      </c>
      <c r="J18" t="inlineStr">
        <is>
          <t>Robu.in</t>
        </is>
      </c>
      <c r="K18" s="27" t="inlineStr">
        <is>
          <t>https://robu.in/product/breadboard-840-tie-points-solderless-diy-project-circuit-test-breadboard/?gad_source=1&amp;gad_campaignid=17427802703&amp;gbraid=0AAAAADvLFWfJDkZFw6RNLqrX8I4huRCzB</t>
        </is>
      </c>
      <c r="N18" s="70" t="inlineStr">
        <is>
          <t>A breadboard was kept in the BOM specifically to build and troubleshoot the full circuit (ESP32 + DHT22 + buttons + LEDs) without soldering, before any wiring is committed to the field-deployment stage. The 840-point size was picked as comfortably large enough for this component count.</t>
        </is>
      </c>
    </row>
    <row r="19" ht="72" customHeight="1">
      <c r="A19" t="n">
        <v>10</v>
      </c>
      <c r="B19" t="inlineStr">
        <is>
          <t>Button Switch</t>
        </is>
      </c>
      <c r="C19" t="inlineStr">
        <is>
          <t>Tactile Push Button Switch</t>
        </is>
      </c>
      <c r="D19" t="inlineStr">
        <is>
          <t>Tactile Push Button Switch</t>
        </is>
      </c>
      <c r="E19" s="32" t="inlineStr">
        <is>
          <t xml:space="preserve">Manufacturer:	Generic
Voltage Rating (V):	12
Max. Operating Current (A)	50mA
Contact Resistance (ohm)	30mΩ
</t>
        </is>
      </c>
      <c r="F19" t="n">
        <v>3</v>
      </c>
      <c r="G19" s="72" t="n">
        <v>25</v>
      </c>
      <c r="H19" s="72" t="n">
        <v>75</v>
      </c>
      <c r="I19" t="inlineStr">
        <is>
          <t xml:space="preserve">6x6x5mm Tactile Push Button Switch is widely used as a standard input “buttons” on electronic projects. </t>
        </is>
      </c>
      <c r="J19" t="inlineStr">
        <is>
          <t>Robu.in</t>
        </is>
      </c>
      <c r="K19" s="27" t="inlineStr">
        <is>
          <t>https://robu.in/product/black-r13-502-12mm-2pin-momentary-self-reset-round-cap-push-button-switch/</t>
        </is>
      </c>
      <c r="N19" s="70" t="inlineStr">
        <is>
          <t>3 tactile push buttons were chosen to give a physical local override (forward/stop/reverse) that keeps working even if the WiFi/MQTT link to the laptop drops — a pure wireless-only control scheme wouldn't have this fallback.</t>
        </is>
      </c>
    </row>
    <row r="20" ht="15" customHeight="1">
      <c r="A20" t="n">
        <v>11</v>
      </c>
      <c r="B20" t="inlineStr">
        <is>
          <t>Power Converter</t>
        </is>
      </c>
      <c r="C20" t="inlineStr">
        <is>
          <t>DC-DC converter</t>
        </is>
      </c>
      <c r="D20" t="inlineStr">
        <is>
          <t>LM2596 DC-DC Buck Converter</t>
        </is>
      </c>
      <c r="E20" s="32" t="inlineStr">
        <is>
          <t>Material	PCB 
Model 	LM2596
Output Voltage 	1.5-35V
Switching Frequency	150KHz</t>
        </is>
      </c>
      <c r="F20" t="n">
        <v>1</v>
      </c>
      <c r="G20" s="72" t="n">
        <v>48</v>
      </c>
      <c r="H20" s="72" t="n">
        <v>48</v>
      </c>
      <c r="I20" t="inlineStr">
        <is>
          <t>LM2596 DC-DC Buck Converter Adjustable Step Down Power Supply Module</t>
        </is>
      </c>
      <c r="J20" t="inlineStr">
        <is>
          <t>robocraze.com</t>
        </is>
      </c>
      <c r="K20" s="27" t="inlineStr">
        <is>
          <t>https://robocraze.com/products/lm2596-dc-dc-buck-module?variant=40192693076121&amp;country=IN&amp;currency=INR&amp;utm_medium=product_sync&amp;utm_source=google&amp;utm_content=sag_organic&amp;utm_campaign=sag_organic&amp;utm_source=google&amp;utm_medium=cpc&amp;utm_campaign=BL+%7C+Pmax+%7C+Feed+Only+%7C+Display+%7C+31%2F05&amp;utm_source=googleads&amp;utm_medium=ppc&amp;utm_campaign=21404823038&amp;utm_content=_&amp;utm_term=&amp;campaignid=21404823038&amp;adgroupid=&amp;campaign=21404823038&amp;gad_source=1&amp;gad_campaignid=21408878617&amp;gbraid=0AAAAADgHQvb-kj4B-dpghlfko_fbrccRp</t>
        </is>
      </c>
      <c r="N20" s="70" t="inlineStr">
        <is>
          <t>LM2596 was chosen over a fixed 5V regulator because its adjustable trim pot allows tuning the output to exactly 5.00V with a multimeter — important given the ESP32's power budget is tight enough that even small over/under-voltage matters.</t>
        </is>
      </c>
    </row>
    <row r="21" ht="30" customHeight="1">
      <c r="A21" s="65" t="n">
        <v>12</v>
      </c>
      <c r="B21" s="65" t="inlineStr">
        <is>
          <t>Bench Prototype</t>
        </is>
      </c>
      <c r="C21" s="66" t="inlineStr">
        <is>
          <t>Diode</t>
        </is>
      </c>
      <c r="D21" s="66" t="inlineStr">
        <is>
          <t>1N5819 Schottky diode</t>
        </is>
      </c>
      <c r="E21" s="66" t="inlineStr">
        <is>
          <t>40V, 1A, DO-41, ~0.5V forward drop — far lower drop than a standard silicon diode</t>
        </is>
      </c>
      <c r="F21" s="65" t="n">
        <v>2</v>
      </c>
      <c r="G21" s="67" t="n">
        <v>2</v>
      </c>
      <c r="H21" s="67" t="n">
        <v>4</v>
      </c>
      <c r="I21" s="66" t="inlineStr">
        <is>
          <t>Reverse-polarity protection: wired in series on the battery + line, it blocks current if the battery is ever connected backwards, protecting the ESP32</t>
        </is>
      </c>
      <c r="J21" s="65" t="inlineStr">
        <is>
          <t>Robu.in</t>
        </is>
      </c>
      <c r="K21" s="68" t="inlineStr">
        <is>
          <t>Open product page</t>
        </is>
      </c>
      <c r="L21" s="66" t="inlineStr">
        <is>
          <t>1N4007 (~₹1, general-purpose) works too but has a bigger ~0.7V drop, eating more into your 5V budget</t>
        </is>
      </c>
      <c r="M21" s="65" t="inlineStr">
        <is>
          <t>Verified price</t>
        </is>
      </c>
      <c r="N21" s="71" t="inlineStr">
        <is>
          <t>1N5819 Schottky was picked over the more common 1N4007 specifically for its lower ~0.5V forward drop (vs ~0.7V) — every volt matters on a circuit already stepping down to a tight 5V rail. It still gives the same core protection: blocking current if the battery is ever connected backwards.</t>
        </is>
      </c>
    </row>
    <row r="22" ht="27.6" customHeight="1">
      <c r="A22" s="65" t="n">
        <v>13</v>
      </c>
      <c r="B22" s="65" t="inlineStr">
        <is>
          <t>Bench Prototype</t>
        </is>
      </c>
      <c r="C22" s="66" t="inlineStr">
        <is>
          <t>Capacitor</t>
        </is>
      </c>
      <c r="D22" s="66" t="inlineStr">
        <is>
          <t>Electrolytic capacitor, 220–470µF (assorted kit)</t>
        </is>
      </c>
      <c r="E22" s="66" t="inlineStr">
        <is>
          <t>12-value assorted kit, 0.22–470µF, radial, through-hole</t>
        </is>
      </c>
      <c r="F22" s="65" t="n">
        <v>1</v>
      </c>
      <c r="G22" s="67" t="n">
        <v>180</v>
      </c>
      <c r="H22" s="67" t="n">
        <v>180</v>
      </c>
      <c r="I22" s="66" t="inlineStr">
        <is>
          <t>Bulk decoupling on the ESP32's 5V rail — smooths the voltage dip that happens when WiFi TX briefly pulls current up to ~0.5–0.8A, which otherwise can cause random resets</t>
        </is>
      </c>
      <c r="J22" s="65" t="inlineStr">
        <is>
          <t>Robu.in</t>
        </is>
      </c>
      <c r="K22" s="68" t="inlineStr">
        <is>
          <t>Open product page</t>
        </is>
      </c>
      <c r="L22" s="66" t="inlineStr">
        <is>
          <t>A single fixed 220µF or 470µF capacitor works fine too if you don't want the full assorted kit</t>
        </is>
      </c>
      <c r="M22" s="65" t="inlineStr">
        <is>
          <t>Estimate — price not scraped, verify at checkout</t>
        </is>
      </c>
      <c r="N22" s="71" t="inlineStr">
        <is>
          <t>An assorted electrolytic capacitor kit was chosen (rather than a single fixed value) so the right value can be tested empirically against the ESP32's WiFi-TX current spikes (up to ~0.8A) before locking in a final value — this decoupling is what prevents random resets during WiFi bursts.</t>
        </is>
      </c>
    </row>
    <row r="23" ht="35.4" customHeight="1">
      <c r="A23" s="65" t="n">
        <v>14</v>
      </c>
      <c r="B23" s="65" t="inlineStr">
        <is>
          <t>Bench Prototype</t>
        </is>
      </c>
      <c r="C23" s="66" t="inlineStr">
        <is>
          <t>Capacitor</t>
        </is>
      </c>
      <c r="D23" s="66" t="inlineStr">
        <is>
          <t>Ceramic capacitor, 100nF (assorted kit)</t>
        </is>
      </c>
      <c r="E23" s="66" t="inlineStr">
        <is>
          <t>30-kind assorted kit, 2pF–0.1µF</t>
        </is>
      </c>
      <c r="F23" s="65" t="n">
        <v>1</v>
      </c>
      <c r="G23" s="67" t="n">
        <v>130</v>
      </c>
      <c r="H23" s="67" t="n">
        <v>130</v>
      </c>
      <c r="I23" s="66" t="inlineStr">
        <is>
          <t>High-frequency noise decoupling right at the ESP32's power pins — the electrolytic above handles slow dips, this handles fast switching noise</t>
        </is>
      </c>
      <c r="J23" s="65" t="inlineStr">
        <is>
          <t>Robu.in</t>
        </is>
      </c>
      <c r="K23" s="68" t="inlineStr">
        <is>
          <t>Open product page</t>
        </is>
      </c>
      <c r="L23" s="66" t="inlineStr">
        <is>
          <t>A single fixed 100nF ceramic cap works fine too if you don't want the full assorted kit</t>
        </is>
      </c>
      <c r="M23" s="65" t="inlineStr">
        <is>
          <t>Estimate — price not scraped, verify at checkout</t>
        </is>
      </c>
      <c r="N23" s="71" t="inlineStr">
        <is>
          <t>Ceramic 100nF kit chosen to complement the electrolytic cap above — handles fast switching noise at the power pins that the electrolytic (built for slower dips) doesn't filter. Kept as an assorted kit for the same bench-testing flexibility as row 13.</t>
        </is>
      </c>
    </row>
    <row r="24" ht="52.8" customHeight="1">
      <c r="A24" s="65" t="n">
        <v>15</v>
      </c>
      <c r="B24" s="65" t="inlineStr">
        <is>
          <t>Bench Prototype</t>
        </is>
      </c>
      <c r="C24" s="66" t="inlineStr">
        <is>
          <t>Fastener</t>
        </is>
      </c>
      <c r="D24" s="66" t="inlineStr">
        <is>
          <t>Pro-Range 120pcs M3 Hexagon Copper Pillar Screw &amp; Standoff Kit</t>
        </is>
      </c>
      <c r="E24" s="66" t="inlineStr">
        <is>
          <t>M3 screws (6/10/15/20mm) + standoffs + nuts, assorted, plastic organizer box</t>
        </is>
      </c>
      <c r="F24" s="65" t="n">
        <v>1</v>
      </c>
      <c r="G24" s="67" t="n">
        <v>491</v>
      </c>
      <c r="H24" s="67" t="n">
        <v>491</v>
      </c>
      <c r="I24" s="66" t="inlineStr">
        <is>
          <t>Raises the ESP32/perfboard off the enclosure floor and bolts it down — prevents shorts against the case and keeps the board from rattling loose</t>
        </is>
      </c>
      <c r="J24" s="65" t="inlineStr">
        <is>
          <t>Robu.in</t>
        </is>
      </c>
      <c r="K24" s="68" t="inlineStr">
        <is>
          <t>Open product page</t>
        </is>
      </c>
      <c r="L24" s="66" t="inlineStr">
        <is>
          <t>Buy individual M3 screws/standoffs by exact length if you don't want a big assorted kit</t>
        </is>
      </c>
      <c r="M24" s="65" t="inlineStr">
        <is>
          <t>Verified price</t>
        </is>
      </c>
      <c r="N24" s="71" t="inlineStr">
        <is>
          <t>Bought as a bulk M3 screw/standoff kit rather than individual lengths because multiple mounting points (ESP32 board, enclosure panel) each need different screw lengths — cheaper and simpler than ordering each length separately. Purpose: lift the board off the enclosure floor to prevent shorts and rattling once the AMR is in motion.</t>
        </is>
      </c>
    </row>
    <row r="25" ht="25.2" customHeight="1">
      <c r="A25" s="65" t="n">
        <v>16</v>
      </c>
      <c r="B25" s="65" t="inlineStr">
        <is>
          <t>Bench Prototype</t>
        </is>
      </c>
      <c r="C25" s="66" t="inlineStr">
        <is>
          <t>Fastener</t>
        </is>
      </c>
      <c r="D25" s="66" t="inlineStr">
        <is>
          <t>EasyMech M3 MS Plain Washer, 100pcs</t>
        </is>
      </c>
      <c r="E25" s="66" t="inlineStr">
        <is>
          <t>3mm ID, 8mm OD, ~0.8mm thick</t>
        </is>
      </c>
      <c r="F25" s="65" t="n">
        <v>1</v>
      </c>
      <c r="G25" s="67" t="n">
        <v>89</v>
      </c>
      <c r="H25" s="67" t="n">
        <v>89</v>
      </c>
      <c r="I25" s="66" t="inlineStr">
        <is>
          <t>Spreads clamping force under standoffs and panel-mount nuts (your new LEDs/buttons) so they don't dig into the enclosure or work loose from vibration</t>
        </is>
      </c>
      <c r="J25" s="65" t="inlineStr">
        <is>
          <t>Robu.in</t>
        </is>
      </c>
      <c r="K25" s="68" t="inlineStr">
        <is>
          <t>Open product page</t>
        </is>
      </c>
      <c r="L25" s="66" t="inlineStr">
        <is>
          <t>Nylon washers instead of steel if you want extra insulation against shorts</t>
        </is>
      </c>
      <c r="M25" s="65" t="inlineStr">
        <is>
          <t>Verified price</t>
        </is>
      </c>
      <c r="N25" s="71" t="inlineStr">
        <is>
          <t>M3 washers added specifically to spread clamping force under the new standoffs and panel-mounted LEDs/buttons, so vehicle vibration doesn't let them dig into the enclosure or work loose over time — a detail that matters once this moves off the bench.</t>
        </is>
      </c>
    </row>
    <row r="26" ht="52.8" customHeight="1">
      <c r="A26" s="65" t="n">
        <v>17</v>
      </c>
      <c r="B26" s="65" t="inlineStr">
        <is>
          <t>Bench Prototype</t>
        </is>
      </c>
      <c r="C26" s="66" t="inlineStr">
        <is>
          <t>Enclosure</t>
        </is>
      </c>
      <c r="D26" s="66" t="inlineStr">
        <is>
          <t>100x68x50mm ABS Junction Box, transparent cover</t>
        </is>
      </c>
      <c r="E26" s="66" t="inlineStr">
        <is>
          <t>Panel-mountable box to house the circuit; drill for the LED/button panel mount holes</t>
        </is>
      </c>
      <c r="F26" s="65" t="n">
        <v>1</v>
      </c>
      <c r="G26" s="67" t="n">
        <v>200</v>
      </c>
      <c r="H26" s="67" t="n">
        <v>200</v>
      </c>
      <c r="I26" s="66" t="inlineStr">
        <is>
          <t>Houses the whole circuit and gives the panel-mount LEDs and buttons an actual panel to bolt into</t>
        </is>
      </c>
      <c r="J26" s="65" t="inlineStr">
        <is>
          <t>Robu.in</t>
        </is>
      </c>
      <c r="K26" s="68" t="inlineStr">
        <is>
          <t>Open product page</t>
        </is>
      </c>
      <c r="L26" s="66" t="inlineStr">
        <is>
          <t>A bigger box (e.g. 200x120x75mm) if the battery pack + LM2596 + breadboard don't fit this size</t>
        </is>
      </c>
      <c r="M26" s="65" t="inlineStr">
        <is>
          <t>Estimate — confirm size fits your layout before ordering</t>
        </is>
      </c>
      <c r="N26" s="71" t="inlineStr">
        <is>
          <t>Enclosure size (100x68x50mm) was chosen as the smallest box estimated to fit the battery pack + LM2596 + breadboard together with room for the panel-mounted LEDs/buttons — flagged in the BOM as an estimate to double check against actual layout before ordering.</t>
        </is>
      </c>
    </row>
    <row r="27" ht="37.2" customHeight="1">
      <c r="A27" s="65" t="n">
        <v>18</v>
      </c>
      <c r="B27" s="65" t="inlineStr">
        <is>
          <t>Field Deployment</t>
        </is>
      </c>
      <c r="C27" s="66" t="inlineStr">
        <is>
          <t>Insulation</t>
        </is>
      </c>
      <c r="D27" s="66" t="inlineStr">
        <is>
          <t>90mm Heat Shrink Tubing Assorted Kit, 168pcs</t>
        </is>
      </c>
      <c r="E27" s="66" t="inlineStr">
        <is>
          <t>Multiple diameters/colors, 2:1 shrink ratio</t>
        </is>
      </c>
      <c r="F27" s="65" t="n">
        <v>1</v>
      </c>
      <c r="G27" s="67" t="n">
        <v>323</v>
      </c>
      <c r="H27" s="67" t="n">
        <v>323</v>
      </c>
      <c r="I27" s="66" t="inlineStr">
        <is>
          <t>Insulates and mechanically protects soldered joints in the field-wiring stage — so a connection can't work loose or short against another wire</t>
        </is>
      </c>
      <c r="J27" s="65" t="inlineStr">
        <is>
          <t>Robu.in</t>
        </is>
      </c>
      <c r="K27" s="68" t="inlineStr">
        <is>
          <t>Open product page</t>
        </is>
      </c>
      <c r="L27" s="66" t="inlineStr">
        <is>
          <t>n/a — needed regardless of soldering method once you move off the breadboard</t>
        </is>
      </c>
      <c r="M27" s="65" t="inlineStr">
        <is>
          <t>Verified price</t>
        </is>
      </c>
      <c r="N27" s="71" t="inlineStr">
        <is>
          <t>Heat-shrink kit is the field-deployment counterpart to the bench-stage jumper wires (row 12) — once wiring is soldered for the vehicle-mounted stage, every joint needs mechanical/insulation protection so it can't shake loose or short against another wire during motion. Bought as an assorted multi-diameter kit since wire gauges vary across the build.</t>
        </is>
      </c>
    </row>
    <row r="28">
      <c r="A28" s="65" t="n">
        <v>19</v>
      </c>
      <c r="B28" s="71" t="inlineStr">
        <is>
          <t>Field Deployment</t>
        </is>
      </c>
      <c r="C28" s="71" t="inlineStr">
        <is>
          <t>Connector</t>
        </is>
      </c>
      <c r="D28" s="71" t="inlineStr">
        <is>
          <t>HM-PCT-222 2-Way Terminal Block</t>
        </is>
      </c>
      <c r="E28" s="71" t="inlineStr">
        <is>
          <t>450V/32A rated, 2-pole lever-actuated splicing connector, wire range 0.5-4mm² (~AWG20-11), voltage resistance 4kV, -40°C to +105°C, strip length 11-12mm</t>
        </is>
      </c>
      <c r="F28" s="76" t="n">
        <v>2</v>
      </c>
      <c r="G28" s="76" t="n">
        <v>29</v>
      </c>
      <c r="H28" s="67" t="n">
        <v>58</v>
      </c>
      <c r="I28" s="66" t="inlineStr">
        <is>
          <t>Tool-free splice point for permanently joining two wire ends (e.g. extending/joining battery leads) in the field-wiring stage, without soldering</t>
        </is>
      </c>
      <c r="J28" s="65" t="inlineStr">
        <is>
          <t>ElectronicSpices.com</t>
        </is>
      </c>
      <c r="K28" s="68" t="inlineStr">
        <is>
          <t>https://electronicspices.com/product/hm-pct-222-2-way-terminal-block-450v32a-splicing-lever-wire-quick-connector</t>
        </is>
      </c>
      <c r="L28" s="66" t="inlineStr">
        <is>
          <t>LT-422 / LT-623 inline splicing connectors (same site) work too — HM-PCT-222's lever-lock mechanism was preferred for a more secure, vibration-resistant hold</t>
        </is>
      </c>
      <c r="M28" s="65" t="inlineStr">
        <is>
          <t>Verified price — fetched 18 Jul 2026</t>
        </is>
      </c>
      <c r="N28" s="71" t="inlineStr">
        <is>
          <t>Picked specifically because its 450V/32A rating gives a huge safety margin over this build's actual low-voltage (5–8.4V) / sub-1A power lines — reliability headroom, not overkill for its price (~₹29/pc). Chosen over a plain solder + heat-shrink joint for spots where a splice may need to be reopened or reconfigured during testing (e.g. battery lead extensions), since the lever mechanism is reversible, unlike a soldered joint. The 2-way (2-pole) size was picked because it's a simple point-to-point splice, not a multi-wire junction — a 3-way (HM-PCT-112) would be the pick only if branching to a third wire.</t>
        </is>
      </c>
    </row>
    <row r="29" ht="14.4" customHeight="1">
      <c r="A29" s="77" t="n">
        <v>20</v>
      </c>
      <c r="B29" s="71" t="inlineStr">
        <is>
          <t>Recommended Addition</t>
        </is>
      </c>
      <c r="C29" s="71" t="inlineStr">
        <is>
          <t>Display</t>
        </is>
      </c>
      <c r="D29" s="71" t="inlineStr">
        <is>
          <t>2.42" OLED Display Module (SSD1309, 128x64) — Blue</t>
        </is>
      </c>
      <c r="E29" s="71" t="inlineStr">
        <is>
          <t>128x64 monochrome, 55.01x27.49mm active display area, SPI/I2C selectable interface, 3.3–5V, SSD1309 driver</t>
        </is>
      </c>
      <c r="F29" s="76" t="n">
        <v>1</v>
      </c>
      <c r="G29" s="76" t="n">
        <v>1050</v>
      </c>
      <c r="H29" s="76" t="n">
        <v>1050</v>
      </c>
      <c r="I29" s="71" t="inlineStr">
        <is>
          <t>Shows live status (WiFi/MQTT connection, AMR command state, DHT22 readings) directly on the unit, at the largest/most readable size in this lineup — readable from further away on the floor, not just at arm's reach</t>
        </is>
      </c>
      <c r="J29" s="71" t="inlineStr">
        <is>
          <t>Robu.in</t>
        </is>
      </c>
      <c r="K29" s="71" t="inlineStr">
        <is>
          <t>https://robu.in/product/ssd1309-driver-oled-display-module/</t>
        </is>
      </c>
      <c r="L29" s="71" t="inlineStr">
        <is>
          <t>1.3" SH1106 OLED (I2C, ~₹341, robu.in/product/1-3-inch-i2c-iic-oled-4-pin-lcd-module-4pin-with-vcc-gnd-blue) if the ~₹700 price gap isn't worth the extra size for your actual viewing distance</t>
        </is>
      </c>
      <c r="M29" s="71" t="inlineStr">
        <is>
          <t>Verified price — fetched 18 Jul 2026</t>
        </is>
      </c>
      <c r="N29" s="71" t="inlineStr">
        <is>
          <t>Sized up again to the largest common OLED option available on Robu.in — at 2.42" this is roughly 2.5x the diagonal of the original 0.96" panel, making it the right call if the display needs to be read from a short distance away on the floor rather than only up close on the unit itself. It supports both SPI and I2C (selectable via an onboard switch/solder jumper) — wiring it over I2C keeps it consistent with the DS3231 RTC already sharing the I2C bus, using the same 2 SDA/SCL pins rather than the 4+ pins SPI would need. The ~₹700 jump over the 1.3" option is the trade-off for that extra readability — worth confirming the actual mounting distance/viewing need justifies it before ordering.</t>
        </is>
      </c>
    </row>
    <row r="30" ht="14.4" customHeight="1">
      <c r="A30" s="77" t="n">
        <v>21</v>
      </c>
      <c r="B30" s="71" t="inlineStr">
        <is>
          <t>Recommended Addition</t>
        </is>
      </c>
      <c r="C30" s="71" t="inlineStr">
        <is>
          <t>Timekeeping</t>
        </is>
      </c>
      <c r="D30" s="71" t="inlineStr">
        <is>
          <t>DS3231 RTC Module (with battery)</t>
        </is>
      </c>
      <c r="E30" s="71" t="inlineStr">
        <is>
          <t>I2C real-time clock, ±2ppm accuracy, coin-cell battery backup, AT24C32 EEPROM onboard</t>
        </is>
      </c>
      <c r="F30" s="76" t="n">
        <v>1</v>
      </c>
      <c r="G30" s="76" t="n">
        <v>141</v>
      </c>
      <c r="H30" s="76" t="n">
        <v>141</v>
      </c>
      <c r="I30" s="71" t="inlineStr">
        <is>
          <t>Keeps accurate date/time independently of WiFi — so displayed/logged data has a correct timestamp even if the AMR's network or MQTT broker is down</t>
        </is>
      </c>
      <c r="J30" s="71" t="inlineStr">
        <is>
          <t>Robu.in</t>
        </is>
      </c>
      <c r="K30" s="71" t="inlineStr">
        <is>
          <t>https://robu.in/product/ds3231-real-time-clock-module-3-3v-5v-precise-with-battery/</t>
        </is>
      </c>
      <c r="L30" s="71" t="inlineStr">
        <is>
          <t>Skip this if timestamps only ever need to come from the cloud service's own server-side clock — keep it if the ESP32 itself should stamp each reading before it's sent</t>
        </is>
      </c>
      <c r="M30" s="71" t="inlineStr">
        <is>
          <t>Verified price — fetched 18 Jul 2026</t>
        </is>
      </c>
      <c r="N30" s="71" t="inlineStr">
        <is>
          <t>Still useful even with cloud storage doing the actual data-keeping: the RTC lets the ESP32 stamp each reading with the correct time *before* it's published, so a reading isn't misdated if there's a delay reaching the cloud, or blank/wrong if the ESP32 briefly loses WiFi (and therefore NTP sync) right when a reading is taken. Chosen for its battery-backed accuracy (±2ppm) over cheaper RTCs like the DS1307 for the same reason as before.</t>
        </is>
      </c>
    </row>
    <row r="31" ht="28.8" customHeight="1">
      <c r="A31" s="77" t="n">
        <v>22</v>
      </c>
      <c r="B31" s="71" t="inlineStr">
        <is>
          <t>Recommended Addition</t>
        </is>
      </c>
      <c r="C31" s="71" t="inlineStr">
        <is>
          <t>Alert</t>
        </is>
      </c>
      <c r="D31" s="71" t="inlineStr">
        <is>
          <t>5V Active Buzzer Module (PCB mounted)</t>
        </is>
      </c>
      <c r="E31" s="71" t="inlineStr">
        <is>
          <t>3.3–5V, ~2.5kHz tone, 3-pin (VCC/GND/Signal), active type (built-in oscillator)</t>
        </is>
      </c>
      <c r="F31" s="76" t="n">
        <v>1</v>
      </c>
      <c r="G31" s="76" t="n">
        <v>35</v>
      </c>
      <c r="H31" s="76" t="n">
        <v>35</v>
      </c>
      <c r="I31" s="71" t="inlineStr">
        <is>
          <t>Gives an audible alert alongside the Red/Green LEDs — so a stopped/error state is noticeable even when no one is looking directly at the panel on a noisy or busy floor</t>
        </is>
      </c>
      <c r="J31" s="71" t="inlineStr">
        <is>
          <t>Robu.in</t>
        </is>
      </c>
      <c r="K31" s="71" t="inlineStr">
        <is>
          <t>https://robu.in/product/pcb-mounted-active-buzzer-module/</t>
        </is>
      </c>
      <c r="L31" s="71" t="inlineStr">
        <is>
          <t>A passive buzzer works too but needs a PWM tone() call to sound (vs. just HIGH/LOW) — active was chosen for simpler firmware since only a single alert tone is needed, not multiple tones/melodies</t>
        </is>
      </c>
      <c r="M31" s="71" t="inlineStr">
        <is>
          <t>Verified price — fetched 18 Jul 2026</t>
        </is>
      </c>
      <c r="N31" s="71" t="inlineStr">
        <is>
          <t>Complements the LEDs from rows 8/9 rather than replacing them: on an actual floor (forklift AMR, background machinery noise), a visual-only indicator can be missed if no one's looking at the panel at that moment. An active buzzer was chosen over passive specifically because it only needs a simple digitalWrite(HIGH/LOW) to sound — no PWM/tone() library needed — keeping the firmware as simple as the LED logic it's paired with.</t>
        </is>
      </c>
    </row>
    <row r="32" ht="14.4" customHeight="1">
      <c r="A32" s="78" t="inlineStr">
        <is>
          <t>TOTAL (Bench + Recommended Addition + Field wiring upgrade)</t>
        </is>
      </c>
      <c r="B32" s="79" t="n"/>
      <c r="C32" s="79" t="n"/>
      <c r="D32" s="79" t="n"/>
      <c r="E32" s="79" t="n"/>
      <c r="F32" s="79" t="n"/>
      <c r="G32" s="80" t="n"/>
      <c r="H32" s="81">
        <f>SUM(H8:H31)</f>
        <v/>
      </c>
      <c r="I32" s="78" t="n"/>
      <c r="J32" s="78" t="n"/>
      <c r="K32" s="78" t="n"/>
      <c r="L32" s="78" t="n"/>
      <c r="M32" s="78" t="n"/>
      <c r="N32" s="78" t="n"/>
    </row>
    <row r="33" ht="31.8" customHeight="1"/>
    <row r="34" ht="29.4" customHeight="1"/>
    <row r="35">
      <c r="A35" s="82" t="inlineStr">
        <is>
          <t>⚠ Battery safety note: most “2-cell 18650 holder with barrel charge jack” listings on Amazon/Robu wire the cells in SERIES (7.4V raw output), not the regulated 5V you need — that would damage the ESP32 if connected directly. Rows 3–5 above are the safe DIY path: cells + a holder explicitly labelled PARALLEL + a separate regulated 5V boost module. Always check a listing says “parallel” and “regulated 5V output” before buying a combined pack.</t>
        </is>
      </c>
    </row>
    <row r="36">
      <c r="A36" s="83" t="inlineStr">
        <is>
          <t>Process (bench prototype)</t>
        </is>
      </c>
    </row>
    <row r="37" ht="33" customHeight="1">
      <c r="A37" s="84" t="inlineStr">
        <is>
          <t>1. Circuit is first built on the breadboard: ESP32, DHT22, the 3 tactile push buttons, and the status LEDs are wired together there to test logic before any permanent connections.</t>
        </is>
      </c>
    </row>
    <row r="38">
      <c r="A38" s="84" t="inlineStr">
        <is>
          <t>2. ESP32 connected to laptop via the USB-A to USB-C cable for programming and bench-testing power.</t>
        </is>
      </c>
    </row>
    <row r="39">
      <c r="A39" s="84" t="inlineStr">
        <is>
          <t>3. Firmware on ESP32 joins the AMR's WiFi network and connects as an MQTT client. This is the ONLY link to the AMR — wireless, no physical wiring into the AMR at any point.</t>
        </is>
      </c>
    </row>
    <row r="40" ht="25.2" customHeight="1">
      <c r="A40" s="84" t="inlineStr">
        <is>
          <t>4. Laptop keypress (W = forward, S = reverse) is published as an MQTT message; ESP32 subscribes and relays the move command to the AMR.</t>
        </is>
      </c>
    </row>
    <row r="41">
      <c r="A41" s="84" t="inlineStr">
        <is>
          <t>5. The 3 tactile push buttons, wired to ESP32 GPIOs, give a local manual override (e.g. forward / stop / reverse) alongside the wireless keypress control.</t>
        </is>
      </c>
    </row>
    <row r="42">
      <c r="A42" s="84" t="inlineStr">
        <is>
          <t>6. The Red and Green LEDs, each wired through a 330Ω resistor to limit current, act as local status indicators on ESP32 GPIOs — e.g. green for connected/running, red for stopped/error.</t>
        </is>
      </c>
    </row>
    <row r="43">
      <c r="A43" s="84" t="inlineStr">
        <is>
          <t>7. DHT22 wired to ESP32 reads ambient temperature/humidity, shown live on the Arduino IDE Serial Monitor.</t>
        </is>
      </c>
    </row>
    <row r="44">
      <c r="A44" s="84" t="inlineStr">
        <is>
          <t>8. Once programming is done and the USB cable is unplugged, the ESP32 runs on battery: 2× 18650 cells feed the 2S-4A Type-C charger/booster module (which also handles charging), whose ~8.4V series output feeds the LM2596 buck converter. ⚠ Its onboard potentiometer must be manually tuned to output exactly 5V — verified with a multimeter — before connecting it to the ESP32.</t>
        </is>
      </c>
    </row>
    <row r="45">
      <c r="A45" s="84" t="inlineStr">
        <is>
          <t>9. The OLED display (I2C) shows live connection/status, sensor readings, and AMR command state directly on the unit; the DS3231 RTC timestamps each reading before it's sent; status and sensor data are published to cloud storage instead of a local SD log; the buzzer sounds alongside the red LED on a stopped/error state.</t>
        </is>
      </c>
    </row>
  </sheetData>
  <autoFilter ref="A6:N32"/>
  <mergeCells count="17">
    <mergeCell ref="A32:G32"/>
    <mergeCell ref="A40:N40"/>
    <mergeCell ref="A39:N39"/>
    <mergeCell ref="A35:N35"/>
    <mergeCell ref="A38:N38"/>
    <mergeCell ref="A2:N2"/>
    <mergeCell ref="A36:N36"/>
    <mergeCell ref="A15:N15"/>
    <mergeCell ref="A7:N7"/>
    <mergeCell ref="A43:N43"/>
    <mergeCell ref="A41:N41"/>
    <mergeCell ref="A42:N42"/>
    <mergeCell ref="A45:N45"/>
    <mergeCell ref="A37:N37"/>
    <mergeCell ref="A13:N13"/>
    <mergeCell ref="A44:N44"/>
    <mergeCell ref="A1:N1"/>
  </mergeCells>
  <hyperlinks>
    <hyperlink xmlns:r="http://schemas.openxmlformats.org/officeDocument/2006/relationships" ref="K8" r:id="rId1"/>
    <hyperlink xmlns:r="http://schemas.openxmlformats.org/officeDocument/2006/relationships" ref="K9" r:id="rId2"/>
    <hyperlink xmlns:r="http://schemas.openxmlformats.org/officeDocument/2006/relationships" ref="K10" display="https://robocraze.com/products/3-7v-1200mah-18650-battery?variant=44016221126880&amp;country=IN&amp;currency=INR&amp;utm_medium=product_sync&amp;utm_source=google&amp;utm_content=sag_organic&amp;utm_campaign=sag_organic&amp;utm_source=google&amp;utm_medium=cpc&amp;utm_campaign=BL+%7C+Pmax+%7C+Feed+Only+%7C+RoboCraze+%7C+Electronic+Components+%7C+31%2F05&amp;utm_source=googleads&amp;utm_medium=ppc&amp;utm_campaign=21337209786&amp;utm_content=_&amp;utm_term=&amp;campaignid=21337209786&amp;adgroupid=&amp;campaign=21337209786&amp;gad_source=1&amp;gad_campaignid=21343423652&amp;gbraid=0AAAAADgHQvYFp6Alj2lS7xiKfJsw_jj02" r:id="rId3"/>
    <hyperlink xmlns:r="http://schemas.openxmlformats.org/officeDocument/2006/relationships" ref="K11" r:id="rId4"/>
    <hyperlink xmlns:r="http://schemas.openxmlformats.org/officeDocument/2006/relationships" ref="K12" r:id="rId5"/>
    <hyperlink xmlns:r="http://schemas.openxmlformats.org/officeDocument/2006/relationships" ref="K14" r:id="rId6"/>
    <hyperlink xmlns:r="http://schemas.openxmlformats.org/officeDocument/2006/relationships" ref="K16" r:id="rId7"/>
    <hyperlink xmlns:r="http://schemas.openxmlformats.org/officeDocument/2006/relationships" ref="K17" r:id="rId8"/>
    <hyperlink xmlns:r="http://schemas.openxmlformats.org/officeDocument/2006/relationships" ref="K18" r:id="rId9"/>
    <hyperlink xmlns:r="http://schemas.openxmlformats.org/officeDocument/2006/relationships" ref="K19" r:id="rId10"/>
    <hyperlink xmlns:r="http://schemas.openxmlformats.org/officeDocument/2006/relationships" ref="K20" display="https://robocraze.com/products/lm2596-dc-dc-buck-module?variant=40192693076121&amp;country=IN&amp;currency=INR&amp;utm_medium=product_sync&amp;utm_source=google&amp;utm_content=sag_organic&amp;utm_campaign=sag_organic&amp;utm_source=google&amp;utm_medium=cpc&amp;utm_campaign=BL+%7C+Pmax+%7C+Feed+Only+%7C+Display+%7C+31%2F05&amp;utm_source=googleads&amp;utm_medium=ppc&amp;utm_campaign=21404823038&amp;utm_content=_&amp;utm_term=&amp;campaignid=21404823038&amp;adgroupid=&amp;campaign=21404823038&amp;gad_source=1&amp;gad_campaignid=21408878617&amp;gbraid=0AAAAADgHQvb-kj4B-dpghlfko_fbrccRp" r:id="rId11"/>
    <hyperlink xmlns:r="http://schemas.openxmlformats.org/officeDocument/2006/relationships" ref="K21" r:id="rId12"/>
    <hyperlink xmlns:r="http://schemas.openxmlformats.org/officeDocument/2006/relationships" ref="A22" display="https://robu.in/product/aluminum-electrolytic-12-kinds-0-22μf-470μf-capacitor-assorted-kit/" r:id="rId13"/>
    <hyperlink xmlns:r="http://schemas.openxmlformats.org/officeDocument/2006/relationships" ref="K22" r:id="rId14"/>
    <hyperlink xmlns:r="http://schemas.openxmlformats.org/officeDocument/2006/relationships" ref="K23" r:id="rId15"/>
    <hyperlink xmlns:r="http://schemas.openxmlformats.org/officeDocument/2006/relationships" ref="K24" r:id="rId16"/>
    <hyperlink xmlns:r="http://schemas.openxmlformats.org/officeDocument/2006/relationships" ref="A25" display="https://robu.in/product/easymech-m3-ms-plain-washer-100pcs/" r:id="rId17"/>
    <hyperlink xmlns:r="http://schemas.openxmlformats.org/officeDocument/2006/relationships" ref="K25" r:id="rId18"/>
    <hyperlink xmlns:r="http://schemas.openxmlformats.org/officeDocument/2006/relationships" ref="K26" r:id="rId19"/>
    <hyperlink xmlns:r="http://schemas.openxmlformats.org/officeDocument/2006/relationships" ref="A27" display="https://robu.in/product/colorful-heat-shrink-tubing-hst-insulation-assorted-kit-90-mm-length-168pcs/" r:id="rId20"/>
    <hyperlink xmlns:r="http://schemas.openxmlformats.org/officeDocument/2006/relationships" ref="K27" r:id="rId21"/>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22"/>
  <sheetViews>
    <sheetView zoomScaleNormal="100" workbookViewId="0">
      <selection activeCell="A1" sqref="A1"/>
    </sheetView>
  </sheetViews>
  <sheetFormatPr baseColWidth="8" defaultColWidth="8.6640625" defaultRowHeight="14.4"/>
  <cols>
    <col width="38" customWidth="1" min="1" max="1"/>
    <col width="16" customWidth="1" min="2" max="3"/>
    <col width="40" customWidth="1" min="4" max="4"/>
  </cols>
  <sheetData>
    <row r="1" ht="24" customHeight="1">
      <c r="A1" s="38" t="inlineStr">
        <is>
          <t>Power Calculations — ESP32 5V rail</t>
        </is>
      </c>
    </row>
    <row r="3" ht="18" customHeight="1">
      <c r="A3" s="37" t="inlineStr">
        <is>
          <t>Inputs (edit the yellow cells)</t>
        </is>
      </c>
    </row>
    <row r="4">
      <c r="A4" s="16" t="inlineStr">
        <is>
          <t>ESP32 input/supply voltage (V)</t>
        </is>
      </c>
      <c r="B4" s="17" t="n">
        <v>5</v>
      </c>
      <c r="D4" s="18" t="inlineStr">
        <is>
          <t>V</t>
        </is>
      </c>
    </row>
    <row r="5">
      <c r="A5" s="16" t="inlineStr">
        <is>
          <t>ESP32 average current draw (A)</t>
        </is>
      </c>
      <c r="B5" s="17" t="n">
        <v>0.2</v>
      </c>
      <c r="D5" s="18" t="inlineStr">
        <is>
          <t>A — typical WiFi+MQTT idle/connected average</t>
        </is>
      </c>
    </row>
    <row r="6" ht="22.8" customHeight="1">
      <c r="A6" s="16" t="inlineStr">
        <is>
          <t>ESP32 peak current draw (A)</t>
        </is>
      </c>
      <c r="B6" s="17" t="n">
        <v>0.5</v>
      </c>
      <c r="D6" s="18" t="inlineStr">
        <is>
          <t>A — WiFi TX burst / connect-time spike, can reach ~0.8A on some boards</t>
        </is>
      </c>
    </row>
    <row r="7">
      <c r="A7" s="16" t="inlineStr">
        <is>
          <t>Battery: rated capacity per cell (mAh)</t>
        </is>
      </c>
      <c r="B7" s="17" t="n">
        <v>1200</v>
      </c>
      <c r="D7" s="18" t="inlineStr">
        <is>
          <t>as printed on the pack</t>
        </is>
      </c>
    </row>
    <row r="8">
      <c r="A8" s="16" t="inlineStr">
        <is>
          <t>Battery: boost/conversion efficiency</t>
        </is>
      </c>
      <c r="B8" s="19" t="n">
        <v>0.85</v>
      </c>
      <c r="D8" s="18" t="inlineStr">
        <is>
          <t>typical for a cheap 18650 boost module, not 100%</t>
        </is>
      </c>
    </row>
    <row r="10" ht="18" customHeight="1">
      <c r="A10" s="37" t="inlineStr">
        <is>
          <t>Voltage × Current = Wattage</t>
        </is>
      </c>
    </row>
    <row r="11">
      <c r="A11" s="16" t="inlineStr">
        <is>
          <t>Average power draw (W)</t>
        </is>
      </c>
      <c r="B11" s="20">
        <f>B4*B5</f>
        <v/>
      </c>
      <c r="D11" s="3" t="inlineStr">
        <is>
          <t>V × I, at average current</t>
        </is>
      </c>
    </row>
    <row r="12">
      <c r="A12" s="16" t="inlineStr">
        <is>
          <t>Peak power draw (W)</t>
        </is>
      </c>
      <c r="B12" s="20">
        <f>B4*B6</f>
        <v/>
      </c>
      <c r="D12" s="3" t="inlineStr">
        <is>
          <t>V × I, at peak current — make sure the battery module's rated max current clears this</t>
        </is>
      </c>
    </row>
    <row r="14" ht="18" customHeight="1">
      <c r="A14" s="37" t="inlineStr">
        <is>
          <t>Battery: 2-cell pack vs 3-cell pack (both wired in parallel on a regulated 5V boost module)</t>
        </is>
      </c>
    </row>
    <row r="15">
      <c r="A15" s="21" t="n"/>
      <c r="B15" s="5" t="inlineStr">
        <is>
          <t>2-cell pack</t>
        </is>
      </c>
      <c r="C15" s="5" t="inlineStr">
        <is>
          <t>3-cell pack</t>
        </is>
      </c>
      <c r="D15" s="21" t="n"/>
    </row>
    <row r="16">
      <c r="A16" s="16" t="inlineStr">
        <is>
          <t>Cells in parallel</t>
        </is>
      </c>
      <c r="B16" s="22" t="n">
        <v>2</v>
      </c>
      <c r="C16" s="22" t="n">
        <v>3</v>
      </c>
    </row>
    <row r="17">
      <c r="A17" s="16" t="inlineStr">
        <is>
          <t>Combined capacity (mAh)</t>
        </is>
      </c>
      <c r="B17" s="23">
        <f>B16*$B$7</f>
        <v/>
      </c>
      <c r="C17" s="23">
        <f>C16*$B$7</f>
        <v/>
      </c>
    </row>
    <row r="18">
      <c r="A18" s="16" t="inlineStr">
        <is>
          <t>Usable energy at 5V, after conversion loss (Wh)</t>
        </is>
      </c>
      <c r="B18" s="24">
        <f>(B17/1000)*$B$4*$B$8</f>
        <v/>
      </c>
      <c r="C18" s="24">
        <f>(C17/1000)*$B$4*$B$8</f>
        <v/>
      </c>
    </row>
    <row r="19">
      <c r="A19" s="25" t="inlineStr">
        <is>
          <t>Estimated runtime at average draw (hours)</t>
        </is>
      </c>
      <c r="B19" s="26">
        <f>B18/$B$11</f>
        <v/>
      </c>
      <c r="C19" s="26">
        <f>C18/$B$11</f>
        <v/>
      </c>
      <c r="D19" s="3" t="inlineStr">
        <is>
          <t>← both give many hours of bench runtime; voltage is identical either way on a regulated module</t>
        </is>
      </c>
    </row>
    <row r="21" ht="18" customHeight="1">
      <c r="A21" s="37" t="inlineStr">
        <is>
          <t>Answer to Q3</t>
        </is>
      </c>
    </row>
    <row r="22" ht="60" customHeight="1">
      <c r="A22" s="40" t="inlineStr">
        <is>
          <t>The 2-cell pack is enough. On a regulated 5V boost/holder module, cell count only changes runtime (capacity), not output voltage — both the 2-cell and 3-cell versions output the same regulated 5V. Before buying, confirm the exact listing says "regulated 5V output" and not a bare series holder (some 2/3-slot 18650 holders just wire cells in series with no boost circuit, giving 7.4V or 11.1V raw — that would damage the ESP32 if fed to it directly).</t>
        </is>
      </c>
    </row>
  </sheetData>
  <mergeCells count="6">
    <mergeCell ref="A1:D1"/>
    <mergeCell ref="A22:D22"/>
    <mergeCell ref="A3:D3"/>
    <mergeCell ref="A21:D21"/>
    <mergeCell ref="A10:D10"/>
    <mergeCell ref="A14:D14"/>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2026-07-16T06:55:09Z</dcterms:created>
  <dcterms:modified xmlns:dcterms="http://purl.org/dc/terms/" xmlns:xsi="http://www.w3.org/2001/XMLSchema-instance" xsi:type="dcterms:W3CDTF">2026-07-18T11:54:07Z</dcterms:modified>
  <cp:lastModifiedBy>vasu radadia</cp:lastModifiedBy>
  <cp:revision>0</cp:revision>
</cp:coreProperties>
</file>