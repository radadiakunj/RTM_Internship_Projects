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TM_Tasks\"/>
    </mc:Choice>
  </mc:AlternateContent>
  <xr:revisionPtr revIDLastSave="0" documentId="13_ncr:1_{C7A4FB17-35DE-4CCC-8F8A-A41DD13A0ED0}" xr6:coauthVersionLast="47" xr6:coauthVersionMax="47" xr10:uidLastSave="{00000000-0000-0000-0000-000000000000}"/>
  <bookViews>
    <workbookView xWindow="-108" yWindow="-108" windowWidth="23256" windowHeight="12456" tabRatio="500" xr2:uid="{00000000-000D-0000-FFFF-FFFF00000000}"/>
  </bookViews>
  <sheets>
    <sheet name="Plug-and-Play BOM" sheetId="1" r:id="rId1"/>
  </sheets>
  <calcPr calcId="191029" iterateDelta="1E-4"/>
</workbook>
</file>

<file path=xl/calcChain.xml><?xml version="1.0" encoding="utf-8"?>
<calcChain xmlns="http://schemas.openxmlformats.org/spreadsheetml/2006/main">
  <c r="G17" i="1" l="1"/>
  <c r="G11" i="1"/>
  <c r="G7" i="1"/>
  <c r="G6" i="1"/>
  <c r="G5" i="1"/>
</calcChain>
</file>

<file path=xl/sharedStrings.xml><?xml version="1.0" encoding="utf-8"?>
<sst xmlns="http://schemas.openxmlformats.org/spreadsheetml/2006/main" count="102" uniqueCount="92">
  <si>
    <t>AMR Push-Button Control + RFID Collision Avoidance — Plug-and-Play Components BOM</t>
  </si>
  <si>
    <t>Simple guide: every part below is 'plug-and-play' — it connects with screw terminals, plugs, or headers, no soldering needed. Buy Link is left blank on purpose so you can paste your own chosen supplier link.</t>
  </si>
  <si>
    <t>Sr No</t>
  </si>
  <si>
    <t>Category</t>
  </si>
  <si>
    <t>Component Name</t>
  </si>
  <si>
    <t>Specification</t>
  </si>
  <si>
    <t>Qty</t>
  </si>
  <si>
    <t>Unit Price (Rs.)</t>
  </si>
  <si>
    <t>Total Price (Rs.)</t>
  </si>
  <si>
    <t>Purpose / Function</t>
  </si>
  <si>
    <t>Platform / Connection</t>
  </si>
  <si>
    <t>Buy Link</t>
  </si>
  <si>
    <t>Alternative Option</t>
  </si>
  <si>
    <t>Comments (Reason for Component Selection)</t>
  </si>
  <si>
    <t>Control Input</t>
  </si>
  <si>
    <t>Forward Push Button</t>
  </si>
  <si>
    <t>22mm metal-body push button, momentary, 1NO+1NC, IP65, screw terminals</t>
  </si>
  <si>
    <t>Pressed to move the AMR forward</t>
  </si>
  <si>
    <t>Panel mount; wires to ESP32 input via screw terminal</t>
  </si>
  <si>
    <t>Schneider XB4 series metal push button</t>
  </si>
  <si>
    <t>Metal body and screw terminals mean it can be pressed thousands of times a day without wearing out or needing re-soldering, unlike a small breadboard tactile switch.</t>
  </si>
  <si>
    <t>Reverse Push Button</t>
  </si>
  <si>
    <t>Pressed to move the AMR backward</t>
  </si>
  <si>
    <t>Same reasoning as the forward button — identical part, kept as a separate line for clarity and easy re-ordering.</t>
  </si>
  <si>
    <t>Safety</t>
  </si>
  <si>
    <t>Emergency Stop Button</t>
  </si>
  <si>
    <t>22mm mushroom-head E-stop, NC contact, twist-to-release, IP65</t>
  </si>
  <si>
    <t>Instantly cuts power to the motor in an emergency</t>
  </si>
  <si>
    <t>Wired in series with the motor driver's enable/power line</t>
  </si>
  <si>
    <t>ABB or Siemens mushroom-head E-stop</t>
  </si>
  <si>
    <t>Was missing from the original BOM. Any robot that physically moves needs a hard, wired safety cut-off that does not depend on the ESP32 software running correctly.</t>
  </si>
  <si>
    <t>Controller</t>
  </si>
  <si>
    <t>Power</t>
  </si>
  <si>
    <t>Supplies clean, regulated 24V to the controller, RFID reader, and relays</t>
  </si>
  <si>
    <t>DIN rail mount, screw terminal input and output</t>
  </si>
  <si>
    <t>Mean Well HDR-30-24 (more compact)</t>
  </si>
  <si>
    <t>A DIN-rail industrial supply is plug-and-play and matches the rest of the panel, instead of a bare transformer and rectifier circuit that needs to be built and tested.</t>
  </si>
  <si>
    <t>Total</t>
  </si>
  <si>
    <t>ESP32-S3-WROOM-1 Module (DevKitC-1 board)</t>
  </si>
  <si>
    <t>ESP32-S3-WROOM-1, dual-core 240MHz, WiFi + BLE, native USB, 3 hardware UART ports, ~45 usable GPIO, plugs into the DIN-rail terminal board above</t>
  </si>
  <si>
    <t>The brain of the system — runs the MQTT client, reads the buttons and RFID, and drives the display over serial</t>
  </si>
  <si>
    <t>Plugs directly into the DIN-rail terminal board's header — no separate wiring</t>
  </si>
  <si>
    <t>ESP32-WROOM-32 (classic, cheaper, no native USB) or ESP32-C3 (cheaper still, but only 2 UARTs — not enough for display + RFID + debug)</t>
  </si>
  <si>
    <t>Chosen over the classic WROOM-32 for native USB debugging/flashing (no separate USB-serial chip needed on the panel), more GPIO headroom (45 vs 34) for scaling to more zones/relays later, and because it's Espressif's current mainline chip. Same 3-UART count, so the display+RFID+debug wiring plan is unchanged from the classic module.</t>
  </si>
  <si>
    <t>DIN-Rail Power Supply — Main 12V Rail</t>
  </si>
  <si>
    <t>Interconnect &amp; Wiring</t>
  </si>
  <si>
    <t>Wago 2000-Series Push-In DIN-Rail Connector Blocks</t>
  </si>
  <si>
    <t>Tool-less push-in (lever/spring-cage) DIN-rail terminal blocks, no screwdriver needed</t>
  </si>
  <si>
    <t>Distributes the 12V power rail from the PSU to the ESP32 board's VIN and the display's power terminal without screwing/unscrewing each connection</t>
  </si>
  <si>
    <t>Clips onto the DIN rail alongside the other modules</t>
  </si>
  <si>
    <t>Standard screw-clamp DIN terminal blocks (cheaper, but need a screwdriver for every connection/disconnection)</t>
  </si>
  <si>
    <t>This is the genuinely 'plug-and-play' way to do DIN-rail power distribution — push the wire in, it locks, pull the orange lever to release. Faster to wire and rewire than screw terminals, useful given how many times this panel will likely be reworked before the deadline.</t>
  </si>
  <si>
    <t>Mounting Hardware</t>
  </si>
  <si>
    <t>Lets the 3D-printed enclosure panels be opened and re-closed repeatedly (for wiring changes, debugging) without stripping the plastic threads</t>
  </si>
  <si>
    <t>Installed with a soldering iron into printed bosses; screws thread into the brass insert</t>
  </si>
  <si>
    <t>Self-tapping screws directly into printed plastic (cheaper, but strip out after a handful of open/close cycles)</t>
  </si>
  <si>
    <t>Given how many times this enclosure will likely be opened before the deadline and after, heat-set inserts are the standard fix for 3D-printed enclosures that need to survive repeated disassembly.</t>
  </si>
  <si>
    <t>M3 3D-Printing Maker Hardware Kit (Inserts + Screws + Standoffs)</t>
  </si>
  <si>
    <t>Pre-tinned ends push straight into Wago CAGE CLAMP or screw terminals — no separate stripping/twisting step</t>
  </si>
  <si>
    <t>12V DC regulated SMPS, DIN-rail mount, e.g. Mean Well MDR-30-12</t>
  </si>
  <si>
    <t>12V→5V DC-DC Converter</t>
  </si>
  <si>
    <t>Buck Converter</t>
  </si>
  <si>
    <t>Assorted matching M3 machine screws (various lengths), and, bundled in one kit box</t>
  </si>
  <si>
    <t>LM2596-based buck converter, screw terminal in/out, wide 4-40V input, adjustable 1.25-37V output, onboard digital display shows live output voltage</t>
  </si>
  <si>
    <t>Steps the 12V panel rail down to 5V for any 5V-only device you add later that doesn't have the wide 7-36V input the ESP32 board and display have — e.g. a 5V-logic RFID module if you fall back to the MFRC522, an indicator LED strip, or a future sensor</t>
  </si>
  <si>
    <t>Screw terminal in from the Wago 12V rail, screw terminal out to the 5V-only device</t>
  </si>
  <si>
    <t>Fixed-output 12V-to-5V module (cheaper, no display, but you can't verify the output voltage without a multimeter)</t>
  </si>
  <si>
    <t>The digital display is the reason to pick this over a cheaper fixed module — you can see and confirm the exact output voltage on the module itself before connecting anything sensitive to it, which matters when you're wiring quickly against a deadline.</t>
  </si>
  <si>
    <t>Plusivo 18AWG hook-up wire kit, pre-tinned stranded/solid core silicone wire, 6 colors</t>
  </si>
  <si>
    <t>Heavier-gauge wiring: 12V power runs from the Wago blocks to the ESP32 board's VIN and the DC-DC converter/display power inputs</t>
  </si>
  <si>
    <t>22AWG-only kit for everything (works, but thinner than ideal for the main 12V power runs)</t>
  </si>
  <si>
    <t>No single pack bundles both 18AWG and 22AWG together anywhere on the market — checked across major brands. This and the 22AWG kit below are two separate purchases, but both are Plusivo-brand on the same Robu.in page, so it's one checkout even though it's two boxes. Robu's listing is 5m/spool, not 7m.</t>
  </si>
  <si>
    <t>22 AWG Silicone Wire Kit (6 colors x ~7m each)</t>
  </si>
  <si>
    <t>Plusivo 22AWG hook-up wire kit, pre-tinned stranded silicone wire, 6 colors</t>
  </si>
  <si>
    <t>Lighter-gauge signal wiring: button GPIO leads, RFID UART leads, display UART leads</t>
  </si>
  <si>
    <t>18AWG-only kit for everything (works, but unnecessarily thick/stiff for low-current signal lines)</t>
  </si>
  <si>
    <t>Same brand and same Robu.in page as the 18AWG kit above — buy both together in one order even though they're separate SKUs. Multiple colors matter here for the same reason as everywhere else in this BOM: a mis-wired panel is far easier to trace when +12V, GND, and signal lines are visually distinct.</t>
  </si>
  <si>
    <t>18 AWG Silicone Wire Kit (6 colors x 7m each)</t>
  </si>
  <si>
    <t>https://www.amazon.in/Replacement-Extension-Universal-Appliances-Repairing/dp/B0GN28BKTY</t>
  </si>
  <si>
    <t>3-Pin Mains AC Power Cord (3-Core, Open Wire End)</t>
  </si>
  <si>
    <t>3-pin Indian mains plug to 3 open/bare wires, 3-core copper cable, ~2.2m, rated up to 10A</t>
  </si>
  <si>
    <t>Carries 230V mains power from the wall socket into the Mean Well PSU's mains-input screw terminals — this is the very first wire in the whole panel, everything else runs off what this feeds the PSU</t>
  </si>
  <si>
    <t>3-pin plug end into the wall; open bare-wire end (Live/Neutral/Earth) lands directly on the PSU's mains input terminals</t>
  </si>
  <si>
    <t>Hardwiring straight into a junction box instead of using a plug (works, but loses the ability to unplug the panel for bench testing)</t>
  </si>
  <si>
    <t>10A rating is far more than this panel needs — the 12V PSU only draws roughly 0.1A on the mains side — so this is comfortable safety margin, not a mismatch. 3-core matters for grounding the PSU's metal chassis even though the enclosure itself is plastic.</t>
  </si>
  <si>
    <t>POWER Push Button Switch La 38-203 22Mm Panel Mount No/Nc Heavy Duty Spring Return Push Button Red And Green : Amazon.in: Electronics</t>
  </si>
  <si>
    <t>https://robu.in/product/espressif-esp32-s3-devkitc-1-n8r8-development-board/</t>
  </si>
  <si>
    <t>https://robu.in/product/high-quality-ultra-flexible-18awg-silicone-wire-white/</t>
  </si>
  <si>
    <t>https://robu.in/product/high-quality-ultra-flexible-22awg-silicone-wire-1000m-black/</t>
  </si>
  <si>
    <t>https://www.amazon.in/Generic-M3-Machine-Screw/dp/B07GB8JG5Q?th=1</t>
  </si>
  <si>
    <t>https://robu.in/product/usr-d12-24-iot-24w-12v-2a-ac-to-dc-din-rail-mount-switching-power-supply-without-power-adapter/</t>
  </si>
  <si>
    <t>https://robu.in/product/24v-12v-to-5v-5a-power-module-dc-dc-xy-3606-power-converter/?gad_source=1&amp;gad_campaignid=17416544847&amp;gbraid=0AAAAADvLFWcksvf-13637KgsUt8nkBV9P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</si>
</sst>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s.&quot;#,##0"/>
  </numFmts>
  <fonts count="11" x14ac:knownFonts="1">
    <font>
      <sz val="11"/>
      <color theme="1"/>
      <name val="Calibri"/>
      <family val="2"/>
      <charset val="1"/>
    </font>
    <font>
      <b/>
      <sz val="14"/>
      <color rgb="FFFFFFFF"/>
      <name val="Arial"/>
      <charset val="1"/>
    </font>
    <font>
      <i/>
      <sz val="10"/>
      <color rgb="FF444444"/>
      <name val="Arial"/>
      <charset val="1"/>
    </font>
    <font>
      <b/>
      <sz val="10"/>
      <color rgb="FFFFFFFF"/>
      <name val="Arial"/>
      <charset val="1"/>
    </font>
    <font>
      <sz val="10"/>
      <name val="Arial"/>
      <charset val="1"/>
    </font>
    <font>
      <b/>
      <sz val="10"/>
      <name val="Arial"/>
      <charset val="1"/>
    </font>
    <font>
      <i/>
      <sz val="9"/>
      <color rgb="FF555555"/>
      <name val="Arial"/>
      <charset val="1"/>
    </font>
    <font>
      <sz val="10"/>
      <name val="Arial"/>
      <family val="2"/>
    </font>
    <font>
      <sz val="8"/>
      <name val="Calibri"/>
      <family val="2"/>
      <charset val="1"/>
    </font>
    <font>
      <u/>
      <sz val="11"/>
      <color theme="10"/>
      <name val="Calibri"/>
      <family val="2"/>
      <charset val="1"/>
    </font>
    <font>
      <u/>
      <sz val="10"/>
      <color rgb="FF0563C1"/>
      <name val="Arial"/>
      <charset val="1"/>
    </font>
  </fonts>
  <fills count="5">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D9E1F2"/>
        <bgColor rgb="FFCCFFFF"/>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s>
  <cellStyleXfs count="2">
    <xf numFmtId="0" fontId="0" fillId="0" borderId="0"/>
    <xf numFmtId="0" fontId="9" fillId="0" borderId="0" applyNumberFormat="0" applyFill="0" applyBorder="0" applyAlignment="0" applyProtection="0"/>
  </cellStyleXfs>
  <cellXfs count="46">
    <xf numFmtId="0" fontId="0" fillId="0" borderId="0" xfId="0"/>
    <xf numFmtId="0" fontId="3" fillId="3" borderId="0" xfId="0" applyFont="1" applyFill="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5" fillId="4" borderId="1" xfId="0" applyFont="1" applyFill="1" applyBorder="1" applyAlignment="1">
      <alignment horizontal="right"/>
    </xf>
    <xf numFmtId="164" fontId="5" fillId="4" borderId="1" xfId="0" applyNumberFormat="1" applyFont="1" applyFill="1" applyBorder="1"/>
    <xf numFmtId="0" fontId="5" fillId="0" borderId="0" xfId="0" applyFont="1"/>
    <xf numFmtId="0" fontId="6" fillId="0" borderId="0" xfId="0" applyFont="1" applyAlignment="1">
      <alignment horizontal="left" wrapText="1"/>
    </xf>
    <xf numFmtId="0" fontId="1" fillId="2" borderId="0" xfId="0" applyFont="1" applyFill="1" applyAlignment="1">
      <alignment horizontal="left" vertical="center"/>
    </xf>
    <xf numFmtId="0" fontId="2" fillId="0" borderId="0" xfId="0" applyFont="1" applyAlignment="1">
      <alignment horizontal="left" vertical="center" wrapText="1"/>
    </xf>
    <xf numFmtId="0" fontId="7" fillId="0" borderId="1" xfId="0" applyFont="1" applyBorder="1" applyAlignment="1">
      <alignment horizontal="left" vertical="top" wrapText="1"/>
    </xf>
    <xf numFmtId="0" fontId="4" fillId="0" borderId="2" xfId="0" applyFont="1" applyFill="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164" fontId="4"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4" fillId="0" borderId="2" xfId="0" applyFont="1" applyFill="1" applyBorder="1" applyAlignment="1">
      <alignment horizontal="left" vertical="top" wrapText="1"/>
    </xf>
    <xf numFmtId="0" fontId="9" fillId="0" borderId="0" xfId="1"/>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10" fillId="0" borderId="1" xfId="0" applyFont="1" applyBorder="1" applyAlignment="1">
      <alignment horizontal="left" vertical="top" wrapText="1"/>
    </xf>
    <xf numFmtId="0" fontId="9" fillId="0" borderId="1" xfId="1" applyBorder="1" applyAlignment="1">
      <alignment horizontal="left" vertical="top" wrapText="1"/>
    </xf>
    <xf numFmtId="164" fontId="7" fillId="0" borderId="2" xfId="0" applyNumberFormat="1"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obu.in/product/high-quality-ultra-flexible-18awg-silicone-wire-white/" TargetMode="External"/><Relationship Id="rId3" Type="http://schemas.openxmlformats.org/officeDocument/2006/relationships/hyperlink" Target="https://www.amazon.in/Button-Switch-38-203-Spring-Return/dp/B0CCVSLX6K" TargetMode="External"/><Relationship Id="rId7" Type="http://schemas.openxmlformats.org/officeDocument/2006/relationships/hyperlink" Target="https://robu.in/product/24v-12v-to-5v-5a-power-module-dc-dc-xy-3606-power-converter/?gad_source=1&amp;gad_campaignid=17416544847&amp;gbraid=0AAAAADvLFWcksvf-13637KgsUt8nkBV9P" TargetMode="External"/><Relationship Id="rId2" Type="http://schemas.openxmlformats.org/officeDocument/2006/relationships/hyperlink" Target="https://www.amazon.in/Button-Switch-38-203-Spring-Return/dp/B0CCVSLX6K" TargetMode="External"/><Relationship Id="rId1" Type="http://schemas.openxmlformats.org/officeDocument/2006/relationships/hyperlink" Target="https://www.amazon.in/Replacement-Extension-Universal-Appliances-Repairing/dp/B0GN28BKTY" TargetMode="External"/><Relationship Id="rId6" Type="http://schemas.openxmlformats.org/officeDocument/2006/relationships/hyperlink" Target="https://robu.in/product/usr-d12-24-iot-24w-12v-2a-ac-to-dc-din-rail-mount-switching-power-supply-without-power-adapter/" TargetMode="External"/><Relationship Id="rId5" Type="http://schemas.openxmlformats.org/officeDocument/2006/relationships/hyperlink" Target="https://www.amazon.in/Generic-M3-Machine-Screw/dp/B07GB8JG5Q?th=1" TargetMode="External"/><Relationship Id="rId4" Type="http://schemas.openxmlformats.org/officeDocument/2006/relationships/hyperlink" Target="https://robu.in/product/espressif-esp32-s3-devkitc-1-n8r8-development-board/" TargetMode="External"/><Relationship Id="rId9" Type="http://schemas.openxmlformats.org/officeDocument/2006/relationships/hyperlink" Target="https://robu.in/product/high-quality-ultra-flexible-22awg-silicone-wire-1000m-bl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zoomScale="85" zoomScaleNormal="85" workbookViewId="0">
      <pane ySplit="4" topLeftCell="A5" activePane="bottomLeft" state="frozen"/>
      <selection pane="bottomLeft" activeCell="C25" sqref="C25"/>
    </sheetView>
  </sheetViews>
  <sheetFormatPr defaultColWidth="8.6640625" defaultRowHeight="14.4" x14ac:dyDescent="0.3"/>
  <cols>
    <col min="1" max="1" width="7" customWidth="1"/>
    <col min="2" max="2" width="16" customWidth="1"/>
    <col min="3" max="3" width="24" customWidth="1"/>
    <col min="4" max="4" width="34" customWidth="1"/>
    <col min="5" max="5" width="6" customWidth="1"/>
    <col min="6" max="7" width="13" customWidth="1"/>
    <col min="8" max="8" width="32" customWidth="1"/>
    <col min="9" max="9" width="26" customWidth="1"/>
    <col min="10" max="10" width="14" customWidth="1"/>
    <col min="11" max="11" width="26" customWidth="1"/>
    <col min="12" max="12" width="40" customWidth="1"/>
  </cols>
  <sheetData>
    <row r="1" spans="1:12" ht="25.5" customHeight="1" x14ac:dyDescent="0.3">
      <c r="A1" s="9" t="s">
        <v>0</v>
      </c>
      <c r="B1" s="9"/>
      <c r="C1" s="9"/>
      <c r="D1" s="9"/>
      <c r="E1" s="9"/>
      <c r="F1" s="9"/>
      <c r="G1" s="9"/>
      <c r="H1" s="9"/>
      <c r="I1" s="9"/>
      <c r="J1" s="9"/>
      <c r="K1" s="9"/>
      <c r="L1" s="9"/>
    </row>
    <row r="2" spans="1:12" ht="30" customHeight="1" x14ac:dyDescent="0.3">
      <c r="A2" s="10" t="s">
        <v>1</v>
      </c>
      <c r="B2" s="10"/>
      <c r="C2" s="10"/>
      <c r="D2" s="10"/>
      <c r="E2" s="10"/>
      <c r="F2" s="10"/>
      <c r="G2" s="10"/>
      <c r="H2" s="10"/>
      <c r="I2" s="10"/>
      <c r="J2" s="10"/>
      <c r="K2" s="10"/>
      <c r="L2" s="10"/>
    </row>
    <row r="4" spans="1:12" ht="26.4" x14ac:dyDescent="0.3">
      <c r="A4" s="1" t="s">
        <v>2</v>
      </c>
      <c r="B4" s="1" t="s">
        <v>3</v>
      </c>
      <c r="C4" s="1" t="s">
        <v>4</v>
      </c>
      <c r="D4" s="1" t="s">
        <v>5</v>
      </c>
      <c r="E4" s="1" t="s">
        <v>6</v>
      </c>
      <c r="F4" s="1" t="s">
        <v>7</v>
      </c>
      <c r="G4" s="1" t="s">
        <v>8</v>
      </c>
      <c r="H4" s="1" t="s">
        <v>9</v>
      </c>
      <c r="I4" s="1" t="s">
        <v>10</v>
      </c>
      <c r="J4" s="1" t="s">
        <v>11</v>
      </c>
      <c r="K4" s="1" t="s">
        <v>12</v>
      </c>
      <c r="L4" s="1" t="s">
        <v>13</v>
      </c>
    </row>
    <row r="5" spans="1:12" ht="60" customHeight="1" x14ac:dyDescent="0.3">
      <c r="A5" s="2">
        <v>1</v>
      </c>
      <c r="B5" s="3" t="s">
        <v>14</v>
      </c>
      <c r="C5" s="3" t="s">
        <v>15</v>
      </c>
      <c r="D5" s="3" t="s">
        <v>16</v>
      </c>
      <c r="E5" s="2">
        <v>1</v>
      </c>
      <c r="F5" s="4">
        <v>480</v>
      </c>
      <c r="G5" s="4">
        <f t="shared" ref="G5:G11" si="0">E5*F5</f>
        <v>480</v>
      </c>
      <c r="H5" s="3" t="s">
        <v>17</v>
      </c>
      <c r="I5" s="3" t="s">
        <v>18</v>
      </c>
      <c r="J5" s="29" t="s">
        <v>85</v>
      </c>
      <c r="K5" s="3" t="s">
        <v>19</v>
      </c>
      <c r="L5" s="3" t="s">
        <v>20</v>
      </c>
    </row>
    <row r="6" spans="1:12" ht="60" customHeight="1" x14ac:dyDescent="0.3">
      <c r="A6" s="2">
        <v>2</v>
      </c>
      <c r="B6" s="3" t="s">
        <v>14</v>
      </c>
      <c r="C6" s="3" t="s">
        <v>21</v>
      </c>
      <c r="D6" s="3" t="s">
        <v>16</v>
      </c>
      <c r="E6" s="2">
        <v>1</v>
      </c>
      <c r="F6" s="4">
        <v>480</v>
      </c>
      <c r="G6" s="4">
        <f t="shared" si="0"/>
        <v>480</v>
      </c>
      <c r="H6" s="3" t="s">
        <v>22</v>
      </c>
      <c r="I6" s="3" t="s">
        <v>18</v>
      </c>
      <c r="J6" s="29" t="s">
        <v>85</v>
      </c>
      <c r="K6" s="3" t="s">
        <v>19</v>
      </c>
      <c r="L6" s="3" t="s">
        <v>23</v>
      </c>
    </row>
    <row r="7" spans="1:12" ht="60" customHeight="1" x14ac:dyDescent="0.3">
      <c r="A7" s="2">
        <v>3</v>
      </c>
      <c r="B7" s="3" t="s">
        <v>24</v>
      </c>
      <c r="C7" s="3" t="s">
        <v>25</v>
      </c>
      <c r="D7" s="3" t="s">
        <v>26</v>
      </c>
      <c r="E7" s="2">
        <v>1</v>
      </c>
      <c r="F7" s="4">
        <v>480</v>
      </c>
      <c r="G7" s="4">
        <f t="shared" si="0"/>
        <v>480</v>
      </c>
      <c r="H7" s="3" t="s">
        <v>27</v>
      </c>
      <c r="I7" s="3" t="s">
        <v>28</v>
      </c>
      <c r="J7" s="29" t="s">
        <v>85</v>
      </c>
      <c r="K7" s="3" t="s">
        <v>29</v>
      </c>
      <c r="L7" s="3" t="s">
        <v>30</v>
      </c>
    </row>
    <row r="8" spans="1:12" ht="60" customHeight="1" x14ac:dyDescent="0.3">
      <c r="A8" s="2">
        <v>5</v>
      </c>
      <c r="B8" s="14" t="s">
        <v>31</v>
      </c>
      <c r="C8" s="13" t="s">
        <v>38</v>
      </c>
      <c r="D8" s="15" t="s">
        <v>39</v>
      </c>
      <c r="E8" s="2">
        <v>1</v>
      </c>
      <c r="F8" s="16">
        <v>1749</v>
      </c>
      <c r="G8" s="17">
        <v>1749</v>
      </c>
      <c r="H8" s="18" t="s">
        <v>40</v>
      </c>
      <c r="I8" s="19" t="s">
        <v>41</v>
      </c>
      <c r="J8" s="44" t="s">
        <v>86</v>
      </c>
      <c r="K8" s="20" t="s">
        <v>42</v>
      </c>
      <c r="L8" s="21" t="s">
        <v>43</v>
      </c>
    </row>
    <row r="9" spans="1:12" ht="60" customHeight="1" x14ac:dyDescent="0.3">
      <c r="A9" s="22">
        <v>6</v>
      </c>
      <c r="B9" s="23" t="s">
        <v>45</v>
      </c>
      <c r="C9" s="23" t="s">
        <v>46</v>
      </c>
      <c r="D9" s="23" t="s">
        <v>47</v>
      </c>
      <c r="E9" s="22">
        <v>1</v>
      </c>
      <c r="F9" s="24"/>
      <c r="G9" s="24"/>
      <c r="H9" s="23" t="s">
        <v>48</v>
      </c>
      <c r="I9" s="23" t="s">
        <v>49</v>
      </c>
      <c r="J9" s="29"/>
      <c r="K9" s="23" t="s">
        <v>50</v>
      </c>
      <c r="L9" s="23" t="s">
        <v>51</v>
      </c>
    </row>
    <row r="10" spans="1:12" ht="15" customHeight="1" x14ac:dyDescent="0.3">
      <c r="A10" s="25">
        <v>10</v>
      </c>
      <c r="B10" s="26" t="s">
        <v>52</v>
      </c>
      <c r="C10" s="11" t="s">
        <v>57</v>
      </c>
      <c r="D10" s="11" t="s">
        <v>62</v>
      </c>
      <c r="E10" s="25">
        <v>1</v>
      </c>
      <c r="F10" s="27">
        <v>355</v>
      </c>
      <c r="G10" s="27">
        <v>355</v>
      </c>
      <c r="H10" s="26" t="s">
        <v>53</v>
      </c>
      <c r="I10" s="26" t="s">
        <v>54</v>
      </c>
      <c r="J10" s="44" t="s">
        <v>89</v>
      </c>
      <c r="K10" s="26" t="s">
        <v>55</v>
      </c>
      <c r="L10" s="26" t="s">
        <v>56</v>
      </c>
    </row>
    <row r="11" spans="1:12" ht="15" customHeight="1" x14ac:dyDescent="0.3">
      <c r="A11" s="2">
        <v>13</v>
      </c>
      <c r="B11" s="3" t="s">
        <v>32</v>
      </c>
      <c r="C11" s="11" t="s">
        <v>44</v>
      </c>
      <c r="D11" s="3" t="s">
        <v>59</v>
      </c>
      <c r="E11" s="2">
        <v>1</v>
      </c>
      <c r="F11" s="4">
        <v>1266</v>
      </c>
      <c r="G11" s="4">
        <f>E11*F11</f>
        <v>1266</v>
      </c>
      <c r="H11" s="3" t="s">
        <v>33</v>
      </c>
      <c r="I11" s="3" t="s">
        <v>34</v>
      </c>
      <c r="J11" s="44" t="s">
        <v>90</v>
      </c>
      <c r="K11" s="3" t="s">
        <v>35</v>
      </c>
      <c r="L11" s="3" t="s">
        <v>36</v>
      </c>
    </row>
    <row r="12" spans="1:12" ht="105.6" x14ac:dyDescent="0.3">
      <c r="A12" s="12">
        <v>14</v>
      </c>
      <c r="B12" s="28" t="s">
        <v>61</v>
      </c>
      <c r="C12" s="28" t="s">
        <v>60</v>
      </c>
      <c r="D12" s="28" t="s">
        <v>63</v>
      </c>
      <c r="E12" s="12">
        <v>1</v>
      </c>
      <c r="F12" s="45">
        <v>125</v>
      </c>
      <c r="G12">
        <v>125</v>
      </c>
      <c r="H12" s="30" t="s">
        <v>64</v>
      </c>
      <c r="I12" s="31" t="s">
        <v>65</v>
      </c>
      <c r="J12" s="29" t="s">
        <v>91</v>
      </c>
      <c r="K12" s="32" t="s">
        <v>66</v>
      </c>
      <c r="L12" s="33" t="s">
        <v>67</v>
      </c>
    </row>
    <row r="13" spans="1:12" ht="105.6" x14ac:dyDescent="0.3">
      <c r="A13" s="34">
        <v>9</v>
      </c>
      <c r="B13" s="35" t="s">
        <v>45</v>
      </c>
      <c r="C13" s="35" t="s">
        <v>77</v>
      </c>
      <c r="D13" s="35" t="s">
        <v>68</v>
      </c>
      <c r="E13" s="34">
        <v>1</v>
      </c>
      <c r="F13" s="36">
        <v>46</v>
      </c>
      <c r="G13" s="36">
        <v>46</v>
      </c>
      <c r="H13" s="35" t="s">
        <v>69</v>
      </c>
      <c r="I13" s="35" t="s">
        <v>58</v>
      </c>
      <c r="J13" s="44" t="s">
        <v>87</v>
      </c>
      <c r="K13" s="35" t="s">
        <v>70</v>
      </c>
      <c r="L13" s="35" t="s">
        <v>71</v>
      </c>
    </row>
    <row r="14" spans="1:12" ht="92.4" x14ac:dyDescent="0.3">
      <c r="A14" s="37">
        <v>10</v>
      </c>
      <c r="B14" s="38" t="s">
        <v>45</v>
      </c>
      <c r="C14" s="38" t="s">
        <v>72</v>
      </c>
      <c r="D14" s="38" t="s">
        <v>73</v>
      </c>
      <c r="E14" s="37">
        <v>1</v>
      </c>
      <c r="F14" s="39">
        <v>18</v>
      </c>
      <c r="G14" s="39">
        <v>18</v>
      </c>
      <c r="H14" s="38" t="s">
        <v>74</v>
      </c>
      <c r="I14" s="38" t="s">
        <v>58</v>
      </c>
      <c r="J14" s="44" t="s">
        <v>88</v>
      </c>
      <c r="K14" s="38" t="s">
        <v>75</v>
      </c>
      <c r="L14" s="38" t="s">
        <v>76</v>
      </c>
    </row>
    <row r="15" spans="1:12" ht="76.8" customHeight="1" x14ac:dyDescent="0.3">
      <c r="A15" s="40">
        <v>12</v>
      </c>
      <c r="B15" s="41" t="s">
        <v>32</v>
      </c>
      <c r="C15" s="41" t="s">
        <v>79</v>
      </c>
      <c r="D15" s="41" t="s">
        <v>80</v>
      </c>
      <c r="E15" s="40">
        <v>1</v>
      </c>
      <c r="F15" s="42">
        <v>192</v>
      </c>
      <c r="G15" s="42">
        <v>192</v>
      </c>
      <c r="H15" s="41" t="s">
        <v>81</v>
      </c>
      <c r="I15" s="41" t="s">
        <v>82</v>
      </c>
      <c r="J15" s="43" t="s">
        <v>78</v>
      </c>
      <c r="K15" s="41" t="s">
        <v>83</v>
      </c>
      <c r="L15" s="41" t="s">
        <v>84</v>
      </c>
    </row>
    <row r="17" spans="1:12" x14ac:dyDescent="0.3">
      <c r="F17" s="5" t="s">
        <v>37</v>
      </c>
      <c r="G17" s="6">
        <f>SUM(G5:G11)</f>
        <v>4810</v>
      </c>
    </row>
    <row r="27" spans="1:12" x14ac:dyDescent="0.3">
      <c r="A27" s="7"/>
    </row>
    <row r="28" spans="1:12" x14ac:dyDescent="0.3">
      <c r="A28" s="8"/>
      <c r="B28" s="8"/>
      <c r="C28" s="8"/>
      <c r="D28" s="8"/>
      <c r="E28" s="8"/>
      <c r="F28" s="8"/>
      <c r="G28" s="8"/>
      <c r="H28" s="8"/>
      <c r="I28" s="8"/>
      <c r="J28" s="8"/>
      <c r="K28" s="8"/>
      <c r="L28" s="8"/>
    </row>
    <row r="29" spans="1:12" x14ac:dyDescent="0.3">
      <c r="A29" s="8"/>
      <c r="B29" s="8"/>
      <c r="C29" s="8"/>
      <c r="D29" s="8"/>
      <c r="E29" s="8"/>
      <c r="F29" s="8"/>
      <c r="G29" s="8"/>
      <c r="H29" s="8"/>
      <c r="I29" s="8"/>
      <c r="J29" s="8"/>
      <c r="K29" s="8"/>
      <c r="L29" s="8"/>
    </row>
    <row r="30" spans="1:12" x14ac:dyDescent="0.3">
      <c r="A30" s="8"/>
      <c r="B30" s="8"/>
      <c r="C30" s="8"/>
      <c r="D30" s="8"/>
      <c r="E30" s="8"/>
      <c r="F30" s="8"/>
      <c r="G30" s="8"/>
      <c r="H30" s="8"/>
      <c r="I30" s="8"/>
      <c r="J30" s="8"/>
      <c r="K30" s="8"/>
      <c r="L30" s="8"/>
    </row>
    <row r="31" spans="1:12" x14ac:dyDescent="0.3">
      <c r="A31" s="8"/>
      <c r="B31" s="8"/>
      <c r="C31" s="8"/>
      <c r="D31" s="8"/>
      <c r="E31" s="8"/>
      <c r="F31" s="8"/>
      <c r="G31" s="8"/>
      <c r="H31" s="8"/>
      <c r="I31" s="8"/>
      <c r="J31" s="8"/>
      <c r="K31" s="8"/>
      <c r="L31" s="8"/>
    </row>
    <row r="32" spans="1:12" x14ac:dyDescent="0.3">
      <c r="A32" s="8"/>
      <c r="B32" s="8"/>
      <c r="C32" s="8"/>
      <c r="D32" s="8"/>
      <c r="E32" s="8"/>
      <c r="F32" s="8"/>
      <c r="G32" s="8"/>
      <c r="H32" s="8"/>
      <c r="I32" s="8"/>
      <c r="J32" s="8"/>
      <c r="K32" s="8"/>
      <c r="L32" s="8"/>
    </row>
  </sheetData>
  <mergeCells count="7">
    <mergeCell ref="A31:L31"/>
    <mergeCell ref="A32:L32"/>
    <mergeCell ref="A1:L1"/>
    <mergeCell ref="A2:L2"/>
    <mergeCell ref="A28:L28"/>
    <mergeCell ref="A29:L29"/>
    <mergeCell ref="A30:L30"/>
  </mergeCells>
  <phoneticPr fontId="8" type="noConversion"/>
  <hyperlinks>
    <hyperlink ref="J15" r:id="rId1" xr:uid="{00000000-0004-0000-0000-00000B000000}"/>
    <hyperlink ref="J5" r:id="rId2" display="https://www.amazon.in/Button-Switch-38-203-Spring-Return/dp/B0CCVSLX6K" xr:uid="{28870157-3964-4578-8643-823A6040E27A}"/>
    <hyperlink ref="J6:J7" r:id="rId3" display="https://www.amazon.in/Button-Switch-38-203-Spring-Return/dp/B0CCVSLX6K" xr:uid="{74BDC05F-3E69-4B5D-A68D-B7D68752DE3B}"/>
    <hyperlink ref="J8" r:id="rId4" xr:uid="{CD39956C-7DD6-431F-835B-976A13AAC0E8}"/>
    <hyperlink ref="J10" r:id="rId5" xr:uid="{A1CA8064-C023-4F98-AE10-4CF8B7A982B1}"/>
    <hyperlink ref="J11" r:id="rId6" xr:uid="{1479D05A-1080-469B-B058-5BE086AC5C00}"/>
    <hyperlink ref="J12" r:id="rId7" xr:uid="{76497F3B-FA92-4D29-B17F-2D711BC94D57}"/>
    <hyperlink ref="J13" r:id="rId8" xr:uid="{0C0A8022-BC13-4A09-92A7-EAF277F4DCC8}"/>
    <hyperlink ref="J14" r:id="rId9" xr:uid="{598B87CA-92E8-4FEA-81F6-82F311317B11}"/>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Plug-and-Play 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vasu radadia</cp:lastModifiedBy>
  <cp:revision>0</cp:revision>
  <dcterms:created xsi:type="dcterms:W3CDTF">2026-07-18T15:41:01Z</dcterms:created>
  <dcterms:modified xsi:type="dcterms:W3CDTF">2026-07-19T08:15:13Z</dcterms:modified>
  <dc:language>en-US</dc:language>
</cp:coreProperties>
</file>