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RTM_Tasks\Docs\"/>
    </mc:Choice>
  </mc:AlternateContent>
  <xr:revisionPtr revIDLastSave="0" documentId="13_ncr:1_{6E17C059-336E-4B98-AE80-55E57DA9C406}" xr6:coauthVersionLast="47" xr6:coauthVersionMax="47" xr10:uidLastSave="{00000000-0000-0000-0000-000000000000}"/>
  <bookViews>
    <workbookView xWindow="-108" yWindow="-108" windowWidth="23256" windowHeight="12456" xr2:uid="{51658058-8315-A640-B733-1DFC39D6EEC8}"/>
  </bookViews>
  <sheets>
    <sheet name="Numpad Plug-and-Play BOM"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3" i="1" l="1"/>
  <c r="G8" i="1"/>
</calcChain>
</file>

<file path=xl/sharedStrings.xml><?xml version="1.0" encoding="utf-8"?>
<sst xmlns="http://schemas.openxmlformats.org/spreadsheetml/2006/main" count="83" uniqueCount="80">
  <si>
    <t>Industrial Numpad → Serial / CMD / Dashboard Number Entry — Plug-and-Play Components BOM</t>
  </si>
  <si>
    <t>Simple guide: every part below is 'plug-and-play' — it connects with screw terminals, plugs, headers or pre-crimped leads, no soldering needed. How it works: you press digits on the industrial keypad (0-9), the digits appear on the panel LCD as you type, and when you press Enter the ESP32-S3 sends the complete number over its native USB port — so it lands in the Arduino Serial Monitor, a CMD/PuTTY terminal, or (over Wi-Fi/MQTT) on a dashboard. Buy Link is left blank on purpose so you can paste your own chosen supplier link. Prices are indicative Indian market estimates (Robu / Amazon.in level) — confirm at time of purchase.</t>
  </si>
  <si>
    <t>Sr No</t>
  </si>
  <si>
    <t>Category</t>
  </si>
  <si>
    <t>Component Name</t>
  </si>
  <si>
    <t>Specification</t>
  </si>
  <si>
    <t>Qty</t>
  </si>
  <si>
    <t>Unit Price (Rs.)</t>
  </si>
  <si>
    <t>Total Price (Rs.)</t>
  </si>
  <si>
    <t>Purpose / Function</t>
  </si>
  <si>
    <t>Platform / Connection</t>
  </si>
  <si>
    <t>Buy Link</t>
  </si>
  <si>
    <t>Alternative Option</t>
  </si>
  <si>
    <t>Comments (Reason for Component Selection)</t>
  </si>
  <si>
    <t>Control Input</t>
  </si>
  <si>
    <t>The main number-entry device. Keys are mapped as 0-9, Enter, and the four arrow keys (Up/Down/Left/Right) — plus one Clear key</t>
  </si>
  <si>
    <t>8 signal wires land on the screw-terminal shield; ESP32 scans the matrix with the standard Keypad library — no ADC, no soldering</t>
  </si>
  <si>
    <t>A 4x4 metal matrix keypad is the industrial-duty equivalent of a desktop numpad: it survives millions of presses, dust and washdown, and needs only 8 GPIO. 16 keys is exactly enough for 0-9 + Enter + 4 arrows + Clear. Step up to a 4x5 (20-key) version of the same family if you also want Esc/Backspace as dedicated keys.</t>
  </si>
  <si>
    <t>Controller</t>
  </si>
  <si>
    <t>Dual-core 240MHz, Wi-Fi + BLE, native USB (USB-CDC + USB-HID host capable), 3 hardware UARTs, ~45 usable GPIO, 8MB flash / 8MB PSRAM</t>
  </si>
  <si>
    <t>The brain — scans the keypad, buffers the typed digits, drives the LCD, and on Enter prints the completed number to the serial monitor / CMD terminal, or publishes it over Wi-Fi to a dashboard</t>
  </si>
  <si>
    <t>Native USB-C straight to the PC (appears as a COM port); GPIO to keypad and I2C to LCD via the terminal shield</t>
  </si>
  <si>
    <t>ESP32-WROOM-32 classic (cheaper, but needs a separate USB-serial chip); Raspberry Pi Pico (cheaper, no Wi-Fi on base model); Arduino Uno (no Wi-Fi, no dashboard route)</t>
  </si>
  <si>
    <t>Shows the digits live as they are typed ('Entry: 35') and confirms 'SENT' on Enter, so the operator does not have to watch the PC screen</t>
  </si>
  <si>
    <t>4-wire I2C to the terminal shield; address 0x27/0x3F</t>
  </si>
  <si>
    <t>2.4in TFT over SPI (colour, more wiring); 0.96in OLED (cheaper and smaller, but hard to read from a standing distance)</t>
  </si>
  <si>
    <t>A 20x4 character LCD is readable from a metre away, needs only 2 signal wires thanks to the I2C backpack, and costs a fraction of a TFT. On an industrial numpad, local echo of what you typed is essential — otherwise you cannot tell whether the '3' registered before you pressed Enter.</t>
  </si>
  <si>
    <t>Power</t>
  </si>
  <si>
    <t>12V→5V DC-DC Buck Converter (with voltage display)</t>
  </si>
  <si>
    <t>LM2596 / XY-3606 based buck converter, screw terminals in/out, wide 4-40V input, adjustable output, onboard digital voltage display</t>
  </si>
  <si>
    <t>Steps the 12V rail down to a clean 5V for any 5V-only accessory (5V buzzer variant, LED strip, future sensor)</t>
  </si>
  <si>
    <t>Screw terminal in from the Wago 12V rail, screw terminal out to the 5V device</t>
  </si>
  <si>
    <t>Fixed 12V-to-5V module (cheaper, no display — you cannot verify the output without a multimeter)</t>
  </si>
  <si>
    <t>The digital display is the reason to pick this over a cheaper fixed module: you can confirm the exact output voltage before connecting anything sensitive.</t>
  </si>
  <si>
    <t>Interconnect &amp; Wiring</t>
  </si>
  <si>
    <t>Heavier-gauge runs: 12V and GND from the PSU to the Wago blocks and on to the carrier board</t>
  </si>
  <si>
    <t>Pre-tinned ends push straight into Wago or screw terminals — no stripping/twisting step</t>
  </si>
  <si>
    <t>Colour coding is the cheapest debugging tool in the panel: a mis-wired 12V line is far easier to spot when power, ground and signal are visually distinct.</t>
  </si>
  <si>
    <t>Lighter-gauge signal wiring: the 8 keypad matrix leads, I2C lines to the LCD, GPIO leads to the driver module</t>
  </si>
  <si>
    <t>Pre-tinned ends push straight into screw terminals</t>
  </si>
  <si>
    <t>18AWG for everything (unnecessarily thick and stiff for low-current signal lines)</t>
  </si>
  <si>
    <t>Usually sold on the same supplier page as the 18AWG kit, so both arrive in one order. Thin flexible wire is much easier to dress into the keypad's 8-way loom.</t>
  </si>
  <si>
    <t>Total</t>
  </si>
  <si>
    <t>How the 16 keys are mapped (4x4 matrix): Row1 = 1 2 3 UP | Row2 = 4 5 6 DOWN | Row3 = 7 8 9 LEFT | Row4 = CLEAR 0 ENTER RIGHT. Firmware assigns these labels in the Keypad library keymap — order the keypad with the legend you want, or use a blank-cap version and apply your own legends.</t>
  </si>
  <si>
    <t>Data flow: keypress → ESP32 scans the matrix → digit appended to a buffer and echoed on the 20x4 LCD → on ENTER the full number (e.g. 35) is sent as one line over native USB CDC, so it appears in the Arduino Serial Monitor / CMD / PuTTY at 115200 baud, and can simultaneously be published over Wi-Fi MQTT to a dashboard. CLEAR empties the buffer; the arrow keys can scroll menus or move a cursor.</t>
  </si>
  <si>
    <t>No soldering anywhere: keypad and LCD use pre-crimped header leads, everything else lands on screw or push-in terminals. The only heat tool needed is a soldering iron for pressing M3 heat-set inserts into 3D-printed bezels (optional).</t>
  </si>
  <si>
    <t>Prices are indicative Indian market estimates and Buy Link is intentionally left blank — paste your chosen supplier link into column J per row before ordering.</t>
  </si>
  <si>
    <t>https://robu.in/product/lb12b-p10z-lanboo-12mm-mini-push-button-switch-whitedc-5-24vdy-1no/</t>
  </si>
  <si>
    <t>Metal Push Button Switch</t>
  </si>
  <si>
    <t>Switch</t>
  </si>
  <si>
    <t>LB12B-P10F-LANBOO-12mm Mini Push Button Switch White(DC 5-24V,DY-1NO)</t>
  </si>
  <si>
    <t>Rs.149</t>
  </si>
  <si>
    <t>LANBOO 12B 12mm push button switch shines in many application scenarios with its unique advantages. Its small size, only 12 mm, greatly saves space and becomes the first choice for small electronic devices and compact circuit boards.</t>
  </si>
  <si>
    <t>ESP32 with GPIO pins</t>
  </si>
  <si>
    <t>-</t>
  </si>
  <si>
    <t>This is necessary add, because it has Latching: Press once → it clicks and stays pressed in, circuit stays closed (ON). Press it again → it clicks back out, circuit opens (OFF). One press = ON, next press = OFF, and so on. This is like a light switch on a wall, or a ballpoint pen click — the button itself physically holds its position.</t>
  </si>
  <si>
    <t>battery cell charger</t>
  </si>
  <si>
    <t>ESP32-WROOM-32 DevKit v1 (classic)</t>
  </si>
  <si>
    <t>1. It's the cheap one that still does everything. About Rs. 600 instead of Rs. 1,749. That's Rs. 1,100 back in your pocket, and your numpad won't notice the difference.
2. It has Wi-Fi built in. Free superpower — your number can fly to a dashboard webpage, not just the computer screen.
3. It has plenty of fingers (pins). 34 of them. Your keypad needs 8, the screen needs 2, the buzzer and light need 2 more. Loads of room left over.
4. Everybody uses it. It's the most popular ESP32 in the world. So when something breaks at 11pm, someone on the internet has already had your exact problem and posted the fix. That's worth a lot.
5. It talks to your laptop through a little translator chip. The fancy S3 has USB built into the chip itself. This one has a tiny helper chip (CH340) doing the same job. You install a small driver once on your PC, and then it works exactly the same — press 3, 5, Enter, and the number appears.
The one rule to remember: don't plug your keypad wires into pins 34, 35, 36, 39 (those pins can only listen, never speak) or pins 0, 2, 12, 15 (holding a key down on those at switch-on can stop the board waking up). Use pins like 4, 5, 13, 14, 16, 17, 18, 19, 21, 22, 23, 25, 26, 27 instead.</t>
  </si>
  <si>
    <t>https://www.dnatechindia.com/industrial-metal-keypad-4x4-stainless-steel-buy.html</t>
  </si>
  <si>
    <t>https://www.flyrobo.in/4-4-matrix-16-keys-telephone-panel-keyboard-keypad?tracking=ads</t>
  </si>
  <si>
    <t>4×4 Matrix 16 Keys Panel Keyboard Keypad</t>
  </si>
  <si>
    <t>Color	
Black
Each Key Dimension	
8.3mm x 7.3mm
Pad Size	
64mm x 64mm x 11mm
Space Between Keys	
6mm
Material	
Plastic</t>
  </si>
  <si>
    <t>24 AWG Silicone Hook-Up Wire Kit (6 colours)</t>
  </si>
  <si>
    <t>28 AWG Silicone Hook-Up Wire Kit (6 colours)</t>
  </si>
  <si>
    <t>https://www.amazon.in/INVENTO-18650-Battery-Holder-Plastic/dp/B08NK56NZH</t>
  </si>
  <si>
    <t>Display</t>
  </si>
  <si>
    <t>16x2 Character LCD with I2C Backpack</t>
  </si>
  <si>
    <t>16 columns x 2 rows HD44780 LCD, blue/white backlight, pre-soldered PCF8574 I2C backpack (4 wires: VCC/GND/SDA/SCL)</t>
  </si>
  <si>
    <t>24AWG for everything (works, but thin for the main power runs)</t>
  </si>
  <si>
    <t>https://robu.in/product/24-awg-solid-core-insulated-wire-pvc-red/</t>
  </si>
  <si>
    <t xml:space="preserve">24 AWG Solid core insulated wire PVC-Red is designed for safe, stable, and long-lasting electrical connections in control panels, internal wiring, and general electronics. </t>
  </si>
  <si>
    <t>https://robu.in/product/high-quality-ultra-flexible-28awg-silicone-wire-1000-m-black/</t>
  </si>
  <si>
    <t>Silicone is a synthetic rubber variation that is best known for its superior operating temperature range that allows it to remain intact and reliable in both extremely high and low temperatures.</t>
  </si>
  <si>
    <t>https://www.amazon.in/Display-Pre-Soldered-Module-Microcontroller-Projects/dp/B0DQVF3HXG/ref=sr_1_5?sr=8-5</t>
  </si>
  <si>
    <t>https://www.amazon.in/Electronicspices-LM2596-voltage-regulator-1-3-37V/dp/B08P7KT92B/ref=sr_1_9?sr=8-9</t>
  </si>
  <si>
    <t>18650 battery case holder with 26AWG leads, they are tinned wire end, the black and red two wire 130mm design is great for easily soldering and connecting.
Battery clip is made of PP plastic and has screw holes at the bottom to fix the battery holder in a proper position（Screw not attached).
Easy Installation Battery Holder For 4 x 18650 batteries. Stainless steel spring with wire lead design for easy install and convenient for electric circuit DIY work.
Package Include: 1 x 4 Cell Battery Holder</t>
  </si>
  <si>
    <t xml:space="preserve">Brand	‎INVENTO
Manufacturer	‎INVENTO
Country of Origin	‎India
Number of Memory Sticks	‎1
Item Weight	‎50 g
Product Dimensions	‎20 x 30 x 10 cm; 50 g
</t>
  </si>
  <si>
    <t>Holds 4 x 18650 cells wired in series inside the holder. The two 130mm tinned flying leads (red = +, black = −) are the very start of the power chain: red goes to the master latching ON/OFF switch, then on to the buck converter's IN+ screw terminal; black goes straight to the buck converter's IN− terminal, which also becomes the common GND rail for the whole panel. The holder itself screws to the enclosure back plate through the moulded screw holes (screws not supplied). Output is 14.8V nominal (16.8V fully charged, ~12V when flat) — comfortably inside the LM2596 buck converter's 4–40V input window, so the 5V rail stays steady as the pack discharges.</t>
  </si>
  <si>
    <t>A 4-cell holder with spring contacts was chosen over a soldered/shrink-wrapped pack so cells can be swapped or individually charged without cutting anything open — in line with the no-soldering, plug-and-play approach of the rest of this BOM. Four cells in series gives 14.8V nominal, which keeps the buck converter above its dropout even at the end of discharge; three cells (11.1V) would sag too close to the 5V rail near empty. Three things to be aware of: (1) this part is a HOLDER, not a charger — a separate 4S Li-ion charger or a 4S BMS with charge input is still required, and this row should be renamed accordingly; (2) the supplied leads are 26AWG, which is thin for the main battery run — replace them with 20–22AWG or keep the run very short; (3) an inline fuse (2A) on the red lead is strongly recommended, because 18650 cells can deliver tens of amps into a short circuit regardless of how little this panel actually draws.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</si>
</sst>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s.&quot;#,##0"/>
  </numFmts>
  <fonts count="11" x14ac:knownFonts="1">
    <font>
      <sz val="12"/>
      <color theme="1"/>
      <name val="Calibri"/>
      <family val="2"/>
      <scheme val="minor"/>
    </font>
    <font>
      <sz val="11"/>
      <color theme="1"/>
      <name val="Calibri"/>
      <family val="2"/>
      <scheme val="minor"/>
    </font>
    <font>
      <u/>
      <sz val="12"/>
      <color theme="10"/>
      <name val="Calibri"/>
      <family val="2"/>
      <scheme val="minor"/>
    </font>
    <font>
      <b/>
      <sz val="14"/>
      <color rgb="FFFFFFFF"/>
      <name val="Calibri"/>
      <family val="2"/>
      <scheme val="minor"/>
    </font>
    <font>
      <sz val="10"/>
      <color theme="1"/>
      <name val="Calibri"/>
      <family val="2"/>
      <scheme val="minor"/>
    </font>
    <font>
      <sz val="10"/>
      <color rgb="FF444444"/>
      <name val="Calibri"/>
      <family val="2"/>
      <scheme val="minor"/>
    </font>
    <font>
      <b/>
      <sz val="10"/>
      <color rgb="FFFFFFFF"/>
      <name val="Calibri"/>
      <family val="2"/>
      <scheme val="minor"/>
    </font>
    <font>
      <b/>
      <sz val="10"/>
      <color theme="1"/>
      <name val="Calibri"/>
      <family val="2"/>
      <scheme val="minor"/>
    </font>
    <font>
      <sz val="10"/>
      <color theme="1"/>
      <name val="Arial"/>
      <family val="2"/>
    </font>
    <font>
      <sz val="10"/>
      <color rgb="FF000033"/>
      <name val="Arial"/>
      <family val="2"/>
    </font>
    <font>
      <sz val="10"/>
      <color rgb="FFC00000"/>
      <name val="Calibri"/>
      <family val="2"/>
      <scheme val="minor"/>
    </font>
  </fonts>
  <fills count="5">
    <fill>
      <patternFill patternType="none"/>
    </fill>
    <fill>
      <patternFill patternType="gray125"/>
    </fill>
    <fill>
      <patternFill patternType="solid">
        <fgColor rgb="FF1F4E78"/>
        <bgColor indexed="64"/>
      </patternFill>
    </fill>
    <fill>
      <patternFill patternType="solid">
        <fgColor rgb="FF2E75B6"/>
        <bgColor indexed="64"/>
      </patternFill>
    </fill>
    <fill>
      <patternFill patternType="solid">
        <fgColor rgb="FFD9E1F2"/>
        <bgColor indexed="64"/>
      </patternFill>
    </fill>
  </fills>
  <borders count="13">
    <border>
      <left/>
      <right/>
      <top/>
      <bottom/>
      <diagonal/>
    </border>
    <border>
      <left/>
      <right style="thin">
        <color rgb="FFD0D0D0"/>
      </right>
      <top/>
      <bottom style="thin">
        <color rgb="FFD0D0D0"/>
      </bottom>
      <diagonal/>
    </border>
    <border>
      <left style="thin">
        <color rgb="FFD0D0D0"/>
      </left>
      <right style="thin">
        <color rgb="FFD0D0D0"/>
      </right>
      <top/>
      <bottom style="thin">
        <color rgb="FFD0D0D0"/>
      </bottom>
      <diagonal/>
    </border>
    <border>
      <left style="thin">
        <color rgb="FFD0D0D0"/>
      </left>
      <right/>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B7B7B7"/>
      </right>
      <top style="medium">
        <color rgb="FFCCCCCC"/>
      </top>
      <bottom style="medium">
        <color rgb="FFCCCCCC"/>
      </bottom>
      <diagonal/>
    </border>
    <border>
      <left style="medium">
        <color rgb="FFCCCCCC"/>
      </left>
      <right style="medium">
        <color rgb="FFB7B7B7"/>
      </right>
      <top style="medium">
        <color rgb="FFB7B7B7"/>
      </top>
      <bottom style="medium">
        <color rgb="FFB7B7B7"/>
      </bottom>
      <diagonal/>
    </border>
    <border>
      <left/>
      <right style="thin">
        <color rgb="FFD0D0D0"/>
      </right>
      <top/>
      <bottom/>
      <diagonal/>
    </border>
    <border>
      <left style="thin">
        <color rgb="FFD0D0D0"/>
      </left>
      <right style="thin">
        <color rgb="FFD0D0D0"/>
      </right>
      <top/>
      <bottom/>
      <diagonal/>
    </border>
    <border>
      <left style="thin">
        <color rgb="FFD0D0D0"/>
      </left>
      <right/>
      <top/>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0" fontId="6" fillId="3" borderId="0" xfId="0" applyFont="1" applyFill="1" applyAlignment="1">
      <alignment horizontal="center" vertical="center" wrapText="1"/>
    </xf>
    <xf numFmtId="0" fontId="4" fillId="0" borderId="1" xfId="0" applyFont="1" applyBorder="1" applyAlignment="1">
      <alignment horizontal="center"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164" fontId="4" fillId="0" borderId="2" xfId="0" applyNumberFormat="1" applyFont="1" applyBorder="1" applyAlignment="1">
      <alignment horizontal="center" vertical="top" wrapText="1"/>
    </xf>
    <xf numFmtId="0" fontId="4" fillId="0" borderId="3" xfId="0" applyFont="1" applyBorder="1" applyAlignment="1">
      <alignment horizontal="left" vertical="top" wrapText="1"/>
    </xf>
    <xf numFmtId="0" fontId="4" fillId="0" borderId="4" xfId="0" applyFont="1" applyBorder="1" applyAlignment="1">
      <alignment horizontal="center" vertical="top" wrapText="1"/>
    </xf>
    <xf numFmtId="0" fontId="4" fillId="0" borderId="5" xfId="0" applyFont="1" applyBorder="1" applyAlignment="1">
      <alignment horizontal="left" vertical="top" wrapText="1"/>
    </xf>
    <xf numFmtId="0" fontId="4" fillId="0" borderId="5" xfId="0" applyFont="1" applyBorder="1" applyAlignment="1">
      <alignment horizontal="center" vertical="top" wrapText="1"/>
    </xf>
    <xf numFmtId="164" fontId="4" fillId="0" borderId="5" xfId="0" applyNumberFormat="1" applyFont="1" applyBorder="1" applyAlignment="1">
      <alignment horizontal="center" vertical="top" wrapText="1"/>
    </xf>
    <xf numFmtId="0" fontId="4" fillId="0" borderId="6" xfId="0" applyFont="1" applyBorder="1" applyAlignment="1">
      <alignment horizontal="left" vertical="top" wrapText="1"/>
    </xf>
    <xf numFmtId="0" fontId="7" fillId="4" borderId="0" xfId="0" applyFont="1" applyFill="1" applyAlignment="1">
      <alignment horizontal="right"/>
    </xf>
    <xf numFmtId="164" fontId="7" fillId="4" borderId="0" xfId="0" applyNumberFormat="1" applyFont="1" applyFill="1"/>
    <xf numFmtId="0" fontId="1" fillId="0" borderId="7" xfId="0" applyFont="1" applyBorder="1" applyAlignment="1">
      <alignment wrapText="1"/>
    </xf>
    <xf numFmtId="0" fontId="8" fillId="0" borderId="7" xfId="0" applyFont="1" applyBorder="1" applyAlignment="1">
      <alignment vertical="top" wrapText="1"/>
    </xf>
    <xf numFmtId="0" fontId="9" fillId="0" borderId="7" xfId="0" applyFont="1" applyBorder="1" applyAlignment="1">
      <alignment wrapText="1"/>
    </xf>
    <xf numFmtId="0" fontId="8" fillId="0" borderId="7" xfId="0" applyFont="1" applyBorder="1" applyAlignment="1">
      <alignment horizontal="center" vertical="top" wrapText="1"/>
    </xf>
    <xf numFmtId="0" fontId="8" fillId="0" borderId="8" xfId="0" applyFont="1" applyBorder="1" applyAlignment="1">
      <alignment vertical="top" wrapText="1"/>
    </xf>
    <xf numFmtId="0" fontId="8" fillId="0" borderId="9" xfId="0" applyFont="1" applyBorder="1" applyAlignment="1">
      <alignment vertical="top" wrapText="1"/>
    </xf>
    <xf numFmtId="0" fontId="2" fillId="0" borderId="7" xfId="1" applyBorder="1" applyAlignment="1">
      <alignment vertical="top" wrapText="1"/>
    </xf>
    <xf numFmtId="0" fontId="10" fillId="0" borderId="4" xfId="0" applyFont="1" applyBorder="1" applyAlignment="1">
      <alignment horizontal="center" vertical="top" wrapText="1"/>
    </xf>
    <xf numFmtId="0" fontId="10" fillId="0" borderId="5" xfId="0" applyFont="1" applyBorder="1" applyAlignment="1">
      <alignment horizontal="left" vertical="top" wrapText="1"/>
    </xf>
    <xf numFmtId="0" fontId="2" fillId="0" borderId="2" xfId="1" applyBorder="1" applyAlignment="1">
      <alignment horizontal="left" vertical="top" wrapText="1"/>
    </xf>
    <xf numFmtId="0" fontId="2" fillId="0" borderId="0" xfId="1"/>
    <xf numFmtId="0" fontId="4" fillId="0" borderId="10" xfId="0" applyFont="1" applyBorder="1" applyAlignment="1">
      <alignment horizontal="center" vertical="top" wrapText="1"/>
    </xf>
    <xf numFmtId="0" fontId="4" fillId="0" borderId="11" xfId="0" applyFont="1" applyBorder="1" applyAlignment="1">
      <alignment horizontal="left" vertical="top" wrapText="1"/>
    </xf>
    <xf numFmtId="0" fontId="2" fillId="0" borderId="5" xfId="1" applyBorder="1" applyAlignment="1">
      <alignment horizontal="left" vertical="top" wrapText="1"/>
    </xf>
    <xf numFmtId="0" fontId="0" fillId="0" borderId="0" xfId="0" applyAlignment="1">
      <alignment wrapText="1"/>
    </xf>
    <xf numFmtId="0" fontId="4" fillId="0" borderId="11" xfId="0" applyFont="1" applyBorder="1" applyAlignment="1">
      <alignment horizontal="center" vertical="top" wrapText="1"/>
    </xf>
    <xf numFmtId="164" fontId="4" fillId="0" borderId="11" xfId="0" applyNumberFormat="1" applyFont="1" applyBorder="1" applyAlignment="1">
      <alignment horizontal="center" vertical="top" wrapText="1"/>
    </xf>
    <xf numFmtId="0" fontId="4" fillId="0" borderId="12" xfId="0" applyFont="1" applyBorder="1" applyAlignment="1">
      <alignment horizontal="left" vertical="top" wrapText="1"/>
    </xf>
    <xf numFmtId="0" fontId="5" fillId="0" borderId="0" xfId="0" applyFont="1" applyAlignment="1">
      <alignment vertical="top" wrapText="1"/>
    </xf>
    <xf numFmtId="0" fontId="3" fillId="2" borderId="0" xfId="0" applyFont="1" applyFill="1" applyAlignment="1">
      <alignment horizontal="left"/>
    </xf>
    <xf numFmtId="0" fontId="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1d85a35-6fc8-4f87-bec1-8112e370d23b}">
  <we:reference id="WA200009404" version="1.0.0.8" store="en-US" storeType="OMEX"/>
  <we:alternateReferences/>
  <we:properties>
    <we:property name="Microsoft.Office.CampaignId" value="&quot;none&quot;"/>
    <we:property name="claude.fileId" value="&quot;7d15206d-6fe1-4aeb-88a2-8c8a018df08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www.amazon.in/Electronicspices-LM2596-voltage-regulator-1-3-37V/dp/B08P7KT92B/ref=sr_1_9?sr=8-9" TargetMode="External"/><Relationship Id="rId3" Type="http://schemas.openxmlformats.org/officeDocument/2006/relationships/hyperlink" Target="https://www.dnatechindia.com/industrial-metal-keypad-4x4-stainless-steel-buy.html" TargetMode="External"/><Relationship Id="rId7" Type="http://schemas.openxmlformats.org/officeDocument/2006/relationships/hyperlink" Target="https://www.amazon.in/Display-Pre-Soldered-Module-Microcontroller-Projects/dp/B0DQVF3HXG/ref=sr_1_5?sr=8-5" TargetMode="External"/><Relationship Id="rId2" Type="http://schemas.openxmlformats.org/officeDocument/2006/relationships/hyperlink" Target="https://www.flyrobo.in/4-4-matrix-16-keys-telephone-panel-keyboard-keypad?tracking=ads" TargetMode="External"/><Relationship Id="rId1" Type="http://schemas.openxmlformats.org/officeDocument/2006/relationships/hyperlink" Target="https://robu.in/product/lb12b-p10z-lanboo-12mm-mini-push-button-switch-whitedc-5-24vdy-1no/" TargetMode="External"/><Relationship Id="rId6" Type="http://schemas.openxmlformats.org/officeDocument/2006/relationships/hyperlink" Target="https://robu.in/product/high-quality-ultra-flexible-28awg-silicone-wire-1000-m-black/" TargetMode="External"/><Relationship Id="rId5" Type="http://schemas.openxmlformats.org/officeDocument/2006/relationships/hyperlink" Target="https://robu.in/product/24-awg-solid-core-insulated-wire-pvc-red/" TargetMode="External"/><Relationship Id="rId4" Type="http://schemas.openxmlformats.org/officeDocument/2006/relationships/hyperlink" Target="https://www.amazon.in/INVENTO-18650-Battery-Holder-Plastic/dp/B08NK56NZH"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9E452-172E-C743-8C29-3B7C4C394195}">
  <dimension ref="A1:L18"/>
  <sheetViews>
    <sheetView tabSelected="1" topLeftCell="C4" zoomScaleNormal="100" workbookViewId="0">
      <selection activeCell="I6" sqref="I6"/>
    </sheetView>
  </sheetViews>
  <sheetFormatPr defaultColWidth="10.69921875" defaultRowHeight="15.6" x14ac:dyDescent="0.3"/>
  <cols>
    <col min="1" max="1" width="8.19921875" customWidth="1"/>
    <col min="2" max="2" width="18.69921875" customWidth="1"/>
    <col min="3" max="3" width="28" customWidth="1"/>
    <col min="4" max="4" width="39.69921875" customWidth="1"/>
    <col min="5" max="5" width="7" customWidth="1"/>
    <col min="6" max="7" width="15.19921875" customWidth="1"/>
    <col min="8" max="8" width="37.296875" customWidth="1"/>
    <col min="9" max="9" width="30.296875" customWidth="1"/>
    <col min="10" max="10" width="17" customWidth="1"/>
    <col min="11" max="11" width="30.296875" customWidth="1"/>
    <col min="12" max="12" width="46.69921875" customWidth="1"/>
  </cols>
  <sheetData>
    <row r="1" spans="1:12" ht="25.95" customHeight="1" x14ac:dyDescent="0.35">
      <c r="A1" s="33" t="s">
        <v>0</v>
      </c>
      <c r="B1" s="33"/>
      <c r="C1" s="33"/>
      <c r="D1" s="33"/>
      <c r="E1" s="33"/>
      <c r="F1" s="33"/>
      <c r="G1" s="33"/>
      <c r="H1" s="33"/>
      <c r="I1" s="33"/>
      <c r="J1" s="33"/>
      <c r="K1" s="33"/>
      <c r="L1" s="33"/>
    </row>
    <row r="2" spans="1:12" ht="58.05" customHeight="1" x14ac:dyDescent="0.3">
      <c r="A2" s="34" t="s">
        <v>1</v>
      </c>
      <c r="B2" s="34"/>
      <c r="C2" s="34"/>
      <c r="D2" s="34"/>
      <c r="E2" s="34"/>
      <c r="F2" s="34"/>
      <c r="G2" s="34"/>
      <c r="H2" s="34"/>
      <c r="I2" s="34"/>
      <c r="J2" s="34"/>
      <c r="K2" s="34"/>
      <c r="L2" s="34"/>
    </row>
    <row r="4" spans="1:12" ht="31.95" customHeight="1" x14ac:dyDescent="0.3">
      <c r="A4" s="1" t="s">
        <v>2</v>
      </c>
      <c r="B4" s="1" t="s">
        <v>3</v>
      </c>
      <c r="C4" s="1" t="s">
        <v>4</v>
      </c>
      <c r="D4" s="1" t="s">
        <v>5</v>
      </c>
      <c r="E4" s="1" t="s">
        <v>6</v>
      </c>
      <c r="F4" s="1" t="s">
        <v>7</v>
      </c>
      <c r="G4" s="1" t="s">
        <v>8</v>
      </c>
      <c r="H4" s="1" t="s">
        <v>9</v>
      </c>
      <c r="I4" s="1" t="s">
        <v>10</v>
      </c>
      <c r="J4" s="1" t="s">
        <v>11</v>
      </c>
      <c r="K4" s="1" t="s">
        <v>12</v>
      </c>
      <c r="L4" s="1" t="s">
        <v>13</v>
      </c>
    </row>
    <row r="5" spans="1:12" ht="152.4" customHeight="1" thickBot="1" x14ac:dyDescent="0.35">
      <c r="A5" s="2">
        <v>1</v>
      </c>
      <c r="B5" s="3" t="s">
        <v>14</v>
      </c>
      <c r="C5" s="3" t="s">
        <v>61</v>
      </c>
      <c r="D5" s="3" t="s">
        <v>62</v>
      </c>
      <c r="E5" s="4">
        <v>1</v>
      </c>
      <c r="F5" s="5">
        <v>198</v>
      </c>
      <c r="G5" s="5">
        <v>198</v>
      </c>
      <c r="H5" s="3" t="s">
        <v>15</v>
      </c>
      <c r="I5" s="3" t="s">
        <v>16</v>
      </c>
      <c r="J5" s="23" t="s">
        <v>60</v>
      </c>
      <c r="K5" s="24" t="s">
        <v>59</v>
      </c>
      <c r="L5" s="6" t="s">
        <v>17</v>
      </c>
    </row>
    <row r="6" spans="1:12" ht="94.2" thickBot="1" x14ac:dyDescent="0.35">
      <c r="A6" s="7">
        <v>2</v>
      </c>
      <c r="B6" s="14" t="s">
        <v>48</v>
      </c>
      <c r="C6" s="15" t="s">
        <v>49</v>
      </c>
      <c r="D6" s="16" t="s">
        <v>50</v>
      </c>
      <c r="E6" s="17">
        <v>1</v>
      </c>
      <c r="F6" s="17" t="s">
        <v>51</v>
      </c>
      <c r="G6" s="17" t="s">
        <v>51</v>
      </c>
      <c r="H6" s="18" t="s">
        <v>52</v>
      </c>
      <c r="I6" s="19" t="s">
        <v>53</v>
      </c>
      <c r="J6" s="20" t="s">
        <v>47</v>
      </c>
      <c r="K6" s="15" t="s">
        <v>54</v>
      </c>
      <c r="L6" s="15" t="s">
        <v>55</v>
      </c>
    </row>
    <row r="7" spans="1:12" ht="62.4" customHeight="1" x14ac:dyDescent="0.3">
      <c r="A7" s="7">
        <v>3</v>
      </c>
      <c r="B7" s="8" t="s">
        <v>18</v>
      </c>
      <c r="C7" s="8" t="s">
        <v>57</v>
      </c>
      <c r="D7" s="8" t="s">
        <v>19</v>
      </c>
      <c r="E7" s="9">
        <v>1</v>
      </c>
      <c r="F7" s="10"/>
      <c r="G7" s="10"/>
      <c r="H7" s="8" t="s">
        <v>20</v>
      </c>
      <c r="I7" s="8" t="s">
        <v>21</v>
      </c>
      <c r="J7" s="8"/>
      <c r="K7" s="8" t="s">
        <v>22</v>
      </c>
      <c r="L7" s="11" t="s">
        <v>58</v>
      </c>
    </row>
    <row r="8" spans="1:12" ht="109.2" x14ac:dyDescent="0.3">
      <c r="A8" s="7">
        <v>4</v>
      </c>
      <c r="B8" s="8" t="s">
        <v>66</v>
      </c>
      <c r="C8" s="8" t="s">
        <v>67</v>
      </c>
      <c r="D8" s="8" t="s">
        <v>68</v>
      </c>
      <c r="E8" s="9">
        <v>1</v>
      </c>
      <c r="F8" s="10">
        <v>249</v>
      </c>
      <c r="G8" s="10">
        <f>E8*F8</f>
        <v>249</v>
      </c>
      <c r="H8" s="8" t="s">
        <v>23</v>
      </c>
      <c r="I8" s="8" t="s">
        <v>24</v>
      </c>
      <c r="J8" s="27" t="s">
        <v>74</v>
      </c>
      <c r="K8" s="8" t="s">
        <v>25</v>
      </c>
      <c r="L8" s="11" t="s">
        <v>26</v>
      </c>
    </row>
    <row r="9" spans="1:12" ht="124.8" x14ac:dyDescent="0.3">
      <c r="A9" s="7">
        <v>7</v>
      </c>
      <c r="B9" s="8" t="s">
        <v>27</v>
      </c>
      <c r="C9" s="8" t="s">
        <v>28</v>
      </c>
      <c r="D9" s="8" t="s">
        <v>29</v>
      </c>
      <c r="E9" s="9">
        <v>1</v>
      </c>
      <c r="F9" s="10">
        <v>145</v>
      </c>
      <c r="G9" s="10">
        <v>145</v>
      </c>
      <c r="H9" s="8" t="s">
        <v>30</v>
      </c>
      <c r="I9" s="8" t="s">
        <v>31</v>
      </c>
      <c r="J9" s="27" t="s">
        <v>75</v>
      </c>
      <c r="K9" s="8" t="s">
        <v>32</v>
      </c>
      <c r="L9" s="11" t="s">
        <v>33</v>
      </c>
    </row>
    <row r="10" spans="1:12" ht="78" x14ac:dyDescent="0.3">
      <c r="A10" s="21">
        <v>8</v>
      </c>
      <c r="B10" s="22" t="s">
        <v>34</v>
      </c>
      <c r="C10" s="22" t="s">
        <v>63</v>
      </c>
      <c r="D10" s="8" t="s">
        <v>71</v>
      </c>
      <c r="E10" s="9">
        <v>1</v>
      </c>
      <c r="F10" s="10">
        <v>10</v>
      </c>
      <c r="G10" s="10">
        <v>10</v>
      </c>
      <c r="H10" s="8" t="s">
        <v>35</v>
      </c>
      <c r="I10" s="8" t="s">
        <v>36</v>
      </c>
      <c r="J10" s="27" t="s">
        <v>70</v>
      </c>
      <c r="K10" s="8" t="s">
        <v>69</v>
      </c>
      <c r="L10" s="11" t="s">
        <v>37</v>
      </c>
    </row>
    <row r="11" spans="1:12" ht="93.6" x14ac:dyDescent="0.3">
      <c r="A11" s="21">
        <v>9</v>
      </c>
      <c r="B11" s="22" t="s">
        <v>34</v>
      </c>
      <c r="C11" s="22" t="s">
        <v>64</v>
      </c>
      <c r="D11" s="8" t="s">
        <v>73</v>
      </c>
      <c r="E11" s="9">
        <v>1</v>
      </c>
      <c r="F11" s="10">
        <v>6</v>
      </c>
      <c r="G11" s="10">
        <v>6</v>
      </c>
      <c r="H11" s="8" t="s">
        <v>38</v>
      </c>
      <c r="I11" s="8" t="s">
        <v>39</v>
      </c>
      <c r="J11" s="27" t="s">
        <v>72</v>
      </c>
      <c r="K11" s="8" t="s">
        <v>40</v>
      </c>
      <c r="L11" s="11" t="s">
        <v>41</v>
      </c>
    </row>
    <row r="12" spans="1:12" ht="248.4" x14ac:dyDescent="0.3">
      <c r="A12" s="25">
        <v>10</v>
      </c>
      <c r="B12" s="26" t="s">
        <v>56</v>
      </c>
      <c r="C12" s="26" t="s">
        <v>56</v>
      </c>
      <c r="D12" s="28" t="s">
        <v>77</v>
      </c>
      <c r="E12" s="29">
        <v>1</v>
      </c>
      <c r="F12" s="30">
        <v>250</v>
      </c>
      <c r="G12" s="30">
        <v>250</v>
      </c>
      <c r="H12" s="28" t="s">
        <v>76</v>
      </c>
      <c r="I12" s="26" t="s">
        <v>78</v>
      </c>
      <c r="J12" s="24" t="s">
        <v>65</v>
      </c>
      <c r="L12" s="31" t="s">
        <v>79</v>
      </c>
    </row>
    <row r="13" spans="1:12" x14ac:dyDescent="0.3">
      <c r="F13" s="12" t="s">
        <v>42</v>
      </c>
      <c r="G13" s="13">
        <f>SUM(G5:G12)</f>
        <v>858</v>
      </c>
    </row>
    <row r="15" spans="1:12" ht="31.95" customHeight="1" x14ac:dyDescent="0.3">
      <c r="A15" s="32" t="s">
        <v>43</v>
      </c>
      <c r="B15" s="32"/>
      <c r="C15" s="32"/>
      <c r="D15" s="32"/>
      <c r="E15" s="32"/>
      <c r="F15" s="32"/>
      <c r="G15" s="32"/>
      <c r="H15" s="32"/>
      <c r="I15" s="32"/>
      <c r="J15" s="32"/>
      <c r="K15" s="32"/>
      <c r="L15" s="32"/>
    </row>
    <row r="16" spans="1:12" ht="34.049999999999997" customHeight="1" x14ac:dyDescent="0.3">
      <c r="A16" s="32" t="s">
        <v>44</v>
      </c>
      <c r="B16" s="32"/>
      <c r="C16" s="32"/>
      <c r="D16" s="32"/>
      <c r="E16" s="32"/>
      <c r="F16" s="32"/>
      <c r="G16" s="32"/>
      <c r="H16" s="32"/>
      <c r="I16" s="32"/>
      <c r="J16" s="32"/>
      <c r="K16" s="32"/>
      <c r="L16" s="32"/>
    </row>
    <row r="17" spans="1:12" ht="30" customHeight="1" x14ac:dyDescent="0.3">
      <c r="A17" s="32" t="s">
        <v>45</v>
      </c>
      <c r="B17" s="32"/>
      <c r="C17" s="32"/>
      <c r="D17" s="32"/>
      <c r="E17" s="32"/>
      <c r="F17" s="32"/>
      <c r="G17" s="32"/>
      <c r="H17" s="32"/>
      <c r="I17" s="32"/>
      <c r="J17" s="32"/>
      <c r="K17" s="32"/>
      <c r="L17" s="32"/>
    </row>
    <row r="18" spans="1:12" ht="18" customHeight="1" x14ac:dyDescent="0.3">
      <c r="A18" s="32" t="s">
        <v>46</v>
      </c>
      <c r="B18" s="32"/>
      <c r="C18" s="32"/>
      <c r="D18" s="32"/>
      <c r="E18" s="32"/>
      <c r="F18" s="32"/>
      <c r="G18" s="32"/>
      <c r="H18" s="32"/>
      <c r="I18" s="32"/>
      <c r="J18" s="32"/>
      <c r="K18" s="32"/>
      <c r="L18" s="32"/>
    </row>
  </sheetData>
  <mergeCells count="6">
    <mergeCell ref="A18:L18"/>
    <mergeCell ref="A1:L1"/>
    <mergeCell ref="A2:L2"/>
    <mergeCell ref="A15:L15"/>
    <mergeCell ref="A16:L16"/>
    <mergeCell ref="A17:L17"/>
  </mergeCells>
  <hyperlinks>
    <hyperlink ref="J6" r:id="rId1" xr:uid="{41FA05ED-EF55-4220-AFE8-68268FF21C62}"/>
    <hyperlink ref="J5" r:id="rId2" xr:uid="{00488452-436F-41BF-AE16-8BD4B5A680F2}"/>
    <hyperlink ref="K5" r:id="rId3" xr:uid="{7535EF54-9D49-49E5-978B-8CD658609B90}"/>
    <hyperlink ref="J12" r:id="rId4" xr:uid="{E7991991-0943-47A5-833B-D43E7872BF93}"/>
    <hyperlink ref="J10" r:id="rId5" xr:uid="{4EF8542F-C26D-4039-9DC9-5ED395BE859C}"/>
    <hyperlink ref="J11" r:id="rId6" xr:uid="{93FA8F60-A145-4E91-9782-F194C2A84B13}"/>
    <hyperlink ref="J8" r:id="rId7" xr:uid="{48841365-EA39-424D-9516-F4D48001BC5C}"/>
    <hyperlink ref="J9" r:id="rId8" xr:uid="{F0159915-54E7-40A7-B047-7254635EAE3F}"/>
  </hyperlinks>
  <pageMargins left="0.7" right="0.7" top="0.75" bottom="0.75" header="0.3" footer="0.3"/>
  <pageSetup paperSize="9" orientation="portrait"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401524DC532D42A0E0ED886331A72B" ma:contentTypeVersion="13" ma:contentTypeDescription="Create a new document." ma:contentTypeScope="" ma:versionID="d936d863d335d354da51eb78ca1ae338">
  <xsd:schema xmlns:xsd="http://www.w3.org/2001/XMLSchema" xmlns:xs="http://www.w3.org/2001/XMLSchema" xmlns:p="http://schemas.microsoft.com/office/2006/metadata/properties" xmlns:ns2="f577acbf-5b0b-4b4f-9948-268e97f8d3a4" xmlns:ns3="b1e4d6ee-9f6f-43f8-a618-24f3d84da28f" targetNamespace="http://schemas.microsoft.com/office/2006/metadata/properties" ma:root="true" ma:fieldsID="5fbac08d56b1b04aa33acbc31e882ce9" ns2:_="" ns3:_="">
    <xsd:import namespace="f577acbf-5b0b-4b4f-9948-268e97f8d3a4"/>
    <xsd:import namespace="b1e4d6ee-9f6f-43f8-a618-24f3d84da2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3:LastSharedByUser" minOccurs="0"/>
                <xsd:element ref="ns3:LastSharedByTime" minOccurs="0"/>
                <xsd:element ref="ns2:Document_x0020_Purpose" minOccurs="0"/>
                <xsd:element ref="ns2:Initiatives" minOccurs="0"/>
                <xsd:element ref="ns2:MediaServiceDateTaken" minOccurs="0"/>
                <xsd:element ref="ns2:MediaServiceAutoTags"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77acbf-5b0b-4b4f-9948-268e97f8d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ocument_x0020_Purpose" ma:index="14" nillable="true" ma:displayName="Document Purpose" ma:default="Informational" ma:format="Dropdown" ma:internalName="Document_x0020_Purpose">
      <xsd:simpleType>
        <xsd:restriction base="dms:Choice">
          <xsd:enumeration value="Informational"/>
          <xsd:enumeration value="Feature Spec"/>
          <xsd:enumeration value="Engineering Design"/>
          <xsd:enumeration value="Planning"/>
        </xsd:restriction>
      </xsd:simpleType>
    </xsd:element>
    <xsd:element name="Initiatives" ma:index="15" nillable="true" ma:displayName="Initiatives" ma:description="List of initiatives related to this document" ma:internalName="Initiatives">
      <xsd:complexType>
        <xsd:complexContent>
          <xsd:extension base="dms:MultiChoice">
            <xsd:sequence>
              <xsd:element name="Value" maxOccurs="unbounded" minOccurs="0" nillable="true">
                <xsd:simpleType>
                  <xsd:restriction base="dms:Choice">
                    <xsd:enumeration value="Add-in MAU"/>
                    <xsd:enumeration value="Custom Functions"/>
                    <xsd:enumeration value="Data &amp; Analytics"/>
                    <xsd:enumeration value="DevEx: Portals &amp; Programs"/>
                    <xsd:enumeration value="DevEx: Tools &amp; Libraries"/>
                    <xsd:enumeration value="Engineering"/>
                    <xsd:enumeration value="Excel API"/>
                    <xsd:enumeration value="In-Market Support"/>
                    <xsd:enumeration value="Maker Access"/>
                    <xsd:enumeration value="SDX Runtime &amp; Partners"/>
                    <xsd:enumeration value="SDX Service Delivery"/>
                    <xsd:enumeration value="SDX API &amp; Pipeline"/>
                    <xsd:enumeration value="Shield &amp; OCE"/>
                  </xsd:restriction>
                </xsd:simpleType>
              </xsd:element>
            </xsd:sequence>
          </xsd:extension>
        </xsd:complexContent>
      </xsd:complexType>
    </xsd:element>
    <xsd:element name="MediaServiceDateTaken" ma:index="16" nillable="true" ma:displayName="MediaServiceDateTaken" ma:hidden="true" ma:internalName="MediaServiceDateTaken" ma:readOnly="true">
      <xsd:simpleType>
        <xsd:restriction base="dms:Text"/>
      </xsd:simpleType>
    </xsd:element>
    <xsd:element name="MediaServiceAutoTags" ma:index="17" nillable="true" ma:displayName="MediaServiceAutoTags" ma:internalName="MediaServiceAutoTags" ma:readOnly="true">
      <xsd:simpleType>
        <xsd:restriction base="dms:Text"/>
      </xsd:simpleType>
    </xsd:element>
    <xsd:element name="MediaServiceOCR" ma:index="18" nillable="true" ma:displayName="MediaServiceOCR" ma:internalName="MediaServiceOCR" ma:readOnly="true">
      <xsd:simpleType>
        <xsd:restriction base="dms:Note">
          <xsd:maxLength value="255"/>
        </xsd:restriction>
      </xsd:simpleType>
    </xsd:element>
    <xsd:element name="MediaServiceLocation" ma:index="19" nillable="true" ma:displayName="MediaServic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e4d6ee-9f6f-43f8-a618-24f3d84da28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LastSharedByUser" ma:index="12" nillable="true" ma:displayName="Last Shared By User" ma:hidden="true" ma:internalName="LastSharedByUser" ma:readOnly="true">
      <xsd:simpleType>
        <xsd:restriction base="dms:Note"/>
      </xsd:simpleType>
    </xsd:element>
    <xsd:element name="LastSharedByTime" ma:index="13" nillable="true" ma:displayName="Last Shared By Time" ma:hidden="true"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ument_x0020_Purpose xmlns="f577acbf-5b0b-4b4f-9948-268e97f8d3a4">Informational</Document_x0020_Purpose>
    <Initiatives xmlns="f577acbf-5b0b-4b4f-9948-268e97f8d3a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26A393-DB36-49FF-B8B1-6D5559B7AB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77acbf-5b0b-4b4f-9948-268e97f8d3a4"/>
    <ds:schemaRef ds:uri="b1e4d6ee-9f6f-43f8-a618-24f3d84da2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FB5453-596E-4CE8-BCCA-8DF4D5465AF4}">
  <ds:schemaRefs>
    <ds:schemaRef ds:uri="http://schemas.microsoft.com/office/2006/metadata/properties"/>
    <ds:schemaRef ds:uri="b1e4d6ee-9f6f-43f8-a618-24f3d84da28f"/>
    <ds:schemaRef ds:uri="http://purl.org/dc/terms/"/>
    <ds:schemaRef ds:uri="http://schemas.openxmlformats.org/package/2006/metadata/core-properties"/>
    <ds:schemaRef ds:uri="f577acbf-5b0b-4b4f-9948-268e97f8d3a4"/>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customXml/itemProps3.xml><?xml version="1.0" encoding="utf-8"?>
<ds:datastoreItem xmlns:ds="http://schemas.openxmlformats.org/officeDocument/2006/customXml" ds:itemID="{1F48E296-90D9-4A92-A29D-759F46DCA7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Numpad Plug-and-Play BOM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vasu radadia</cp:lastModifiedBy>
  <dcterms:created xsi:type="dcterms:W3CDTF">2018-06-07T17:34:22Z</dcterms:created>
  <dcterms:modified xsi:type="dcterms:W3CDTF">2026-08-02T10:50:55Z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0x010100CD401524DC532D42A0E0ED886331A72B</vt:lpwstr>
  </property>
  <property fmtid="{D5CDD505-2E9C-101B-9397-08002B2CF9AE}" pid="3" name="MSIP_Label_f42aa342-8706-4288-bd11-ebb85995028c_Enabled">
    <vt:lpwstr>True</vt:lpwstr>
  </property>
  <property fmtid="{D5CDD505-2E9C-101B-9397-08002B2CF9AE}" pid="4" name="MSIP_Label_f42aa342-8706-4288-bd11-ebb85995028c_SiteId">
    <vt:lpwstr>72f988bf-86f1-41af-91ab-2d7cd011db47</vt:lpwstr>
  </property>
  <property fmtid="{D5CDD505-2E9C-101B-9397-08002B2CF9AE}" pid="5" name="MSIP_Label_f42aa342-8706-4288-bd11-ebb85995028c_Owner">
    <vt:lpwstr>t-dahop@microsoft.com</vt:lpwstr>
  </property>
  <property fmtid="{D5CDD505-2E9C-101B-9397-08002B2CF9AE}" pid="6" name="MSIP_Label_f42aa342-8706-4288-bd11-ebb85995028c_SetDate">
    <vt:lpwstr>2018-06-18T14:22:57.3833839Z</vt:lpwstr>
  </property>
  <property fmtid="{D5CDD505-2E9C-101B-9397-08002B2CF9AE}" pid="7" name="MSIP_Label_f42aa342-8706-4288-bd11-ebb85995028c_Name">
    <vt:lpwstr>General</vt:lpwstr>
  </property>
  <property fmtid="{D5CDD505-2E9C-101B-9397-08002B2CF9AE}" pid="8" name="MSIP_Label_f42aa342-8706-4288-bd11-ebb85995028c_Application">
    <vt:lpwstr>Microsoft Azure Information Protection</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