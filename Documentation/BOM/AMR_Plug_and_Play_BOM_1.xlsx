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ug-and-Play BOM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<sst xmlns="http://schemas.openxmlformats.org/spreadsheetml/2006/main" count="106" uniqueCount="99">
  <si>
    <t xml:space="preserve">AMR Push-Button Control + RFID Collision Avoidance — Plug-and-Play Components BOM</t>
  </si>
  <si>
    <t xml:space="preserve">Simple guide: every part below is 'plug-and-play' — it connects with screw terminals, plugs, or headers, no soldering needed. Buy Link is left blank on purpose so you can paste your own chosen supplier link.</t>
  </si>
  <si>
    <t xml:space="preserve">Sr No</t>
  </si>
  <si>
    <t xml:space="preserve">Category</t>
  </si>
  <si>
    <t xml:space="preserve">Component Name</t>
  </si>
  <si>
    <t xml:space="preserve">Specification</t>
  </si>
  <si>
    <t xml:space="preserve">Qty</t>
  </si>
  <si>
    <t xml:space="preserve">Unit Price (Rs.)</t>
  </si>
  <si>
    <t xml:space="preserve">Total Price (Rs.)</t>
  </si>
  <si>
    <t xml:space="preserve">Purpose / Function</t>
  </si>
  <si>
    <t xml:space="preserve">Platform / Connection</t>
  </si>
  <si>
    <t xml:space="preserve">Buy Link</t>
  </si>
  <si>
    <t xml:space="preserve">Alternative Option</t>
  </si>
  <si>
    <t xml:space="preserve">Comments (Reason for Component Selection)</t>
  </si>
  <si>
    <t xml:space="preserve">Control Input</t>
  </si>
  <si>
    <t xml:space="preserve">Forward Push Button</t>
  </si>
  <si>
    <t xml:space="preserve">22mm metal-body push button, momentary, 1NO+1NC, IP65, screw terminals</t>
  </si>
  <si>
    <t xml:space="preserve">Pressed to move the AMR forward</t>
  </si>
  <si>
    <t xml:space="preserve">Panel mount; wires to ESP32 input via screw terminal</t>
  </si>
  <si>
    <t xml:space="preserve">Schneider XB4 series metal push button</t>
  </si>
  <si>
    <t xml:space="preserve">Metal body and screw terminals mean it can be pressed thousands of times a day without wearing out or needing re-soldering, unlike a small breadboard tactile switch.</t>
  </si>
  <si>
    <t xml:space="preserve">Reverse Push Button</t>
  </si>
  <si>
    <t xml:space="preserve">Pressed to move the AMR backward</t>
  </si>
  <si>
    <t xml:space="preserve">Same reasoning as the forward button — identical part, kept as a separate line for clarity and easy re-ordering.</t>
  </si>
  <si>
    <t xml:space="preserve">Safety</t>
  </si>
  <si>
    <t xml:space="preserve">Emergency Stop Button</t>
  </si>
  <si>
    <t xml:space="preserve">22mm mushroom-head E-stop, NC contact, twist-to-release, IP65</t>
  </si>
  <si>
    <t xml:space="preserve">Instantly cuts power to the motor in an emergency</t>
  </si>
  <si>
    <t xml:space="preserve">Wired in series with the motor driver's enable/power line</t>
  </si>
  <si>
    <t xml:space="preserve">ABB or Siemens mushroom-head E-stop</t>
  </si>
  <si>
    <t xml:space="preserve">Was missing from the original BOM. Any robot that physically moves needs a hard, wired safety cut-off that does not depend on the ESP32 software running correctly.</t>
  </si>
  <si>
    <t xml:space="preserve">Controller</t>
  </si>
  <si>
    <t xml:space="preserve">ESP32 Industrial DIN-Rail Terminal Board</t>
  </si>
  <si>
    <t xml:space="preserve">DIN-rail carrier for an ESP32-DevKitC/S3 module; brings every GPIO pin out to screw terminals</t>
  </si>
  <si>
    <t xml:space="preserve">Runs the control logic, talks MQTT, and reads the buttons and RFID reader</t>
  </si>
  <si>
    <t xml:space="preserve">DIN rail mount, 5V/24V powered, screw terminals for all I/O</t>
  </si>
  <si>
    <t xml:space="preserve">EQSP32 all-in-one industrial IoT PLC controller (higher cost, more built-in features)</t>
  </si>
  <si>
    <t xml:space="preserve">Lets you plug a standard ESP32 module straight into screw terminals instead of soldering wires to bare GPIO pins on a breadboard.</t>
  </si>
  <si>
    <t xml:space="preserve">Identification (RFID)</t>
  </si>
  <si>
    <t xml:space="preserve">RFID Reader Module</t>
  </si>
  <si>
    <t xml:space="preserve">13.56MHz reader with UART/RS485 output, separate antenna, plug-in header</t>
  </si>
  <si>
    <t xml:space="preserve">Reads the floor tag when the AMR passes a door or junction, confirming its location</t>
  </si>
  <si>
    <t xml:space="preserve">Connects to the ESP32 board over UART</t>
  </si>
  <si>
    <t xml:space="preserve">Wiegand-output reader with a Wiegand-to-serial converter</t>
  </si>
  <si>
    <t xml:space="preserve">A ready-made UART reader module avoids designing custom RF reader circuitry — it plugs straight into the controller.</t>
  </si>
  <si>
    <t xml:space="preserve">RFID Floor Tags</t>
  </si>
  <si>
    <t xml:space="preserve">Passive 13.56MHz epoxy disc tag, ~35mm, rated for embedding under flooring</t>
  </si>
  <si>
    <t xml:space="preserve">Fixed markers embedded in the floor at each door/junction that the AMR reads as it passes</t>
  </si>
  <si>
    <t xml:space="preserve">Passive — no wiring or power needed</t>
  </si>
  <si>
    <t xml:space="preserve">Card-style passive tags (less durable underfoot)</t>
  </si>
  <si>
    <t xml:space="preserve">Quantity here is 1 tag per door/junction — set to 4 as an example; increase to match your actual number of doors.</t>
  </si>
  <si>
    <t xml:space="preserve">Status Display</t>
  </si>
  <si>
    <t xml:space="preserve">I2C Character LCD Display (16x2)</t>
  </si>
  <si>
    <t xml:space="preserve">16x2 LCD with I2C backpack, 4-pin plug (VCC, GND, SDA, SCL), 5V</t>
  </si>
  <si>
    <t xml:space="preserve">Shows live status text (e.g. 'ZONE 3: WAIT', 'FWD', 'MQTT: OK') so the operator knows why the AMR is moving or holding, instead of it looking broken</t>
  </si>
  <si>
    <t xml:space="preserve">I2C — 4 wires straight into the ESP32 board</t>
  </si>
  <si>
    <t xml:space="preserve">0.96-inch I2C OLED display (SSD1306) — sharper text, lower power, same 4-wire plug</t>
  </si>
  <si>
    <t xml:space="preserve">I2C backpack means no soldering and only 4 wires; text is enough to explain zone-wait/forward/reverse/connection status.</t>
  </si>
  <si>
    <t xml:space="preserve">Audible Alert</t>
  </si>
  <si>
    <t xml:space="preserve">Industrial Panel-Mount Buzzer</t>
  </si>
  <si>
    <t xml:space="preserve">12V/24V panel-mount buzzer/horn, IP65, screw terminal, 80-90dB</t>
  </si>
  <si>
    <t xml:space="preserve">Sounds when this AMR's path is blocked because another AMR is already heading to the same zone/point — tells the operator pressing the button that it's intentionally holding, and warns anyone nearby</t>
  </si>
  <si>
    <t xml:space="preserve">Screw terminal, driven from an ESP32 GPIO through a small relay/transistor</t>
  </si>
  <si>
    <t xml:space="preserve">5V active buzzer module (PCB-mount, quieter, cheaper — fine for a desk/bench test but may not carry over floor noise)</t>
  </si>
  <si>
    <t xml:space="preserve">Uses the same MQTT 'zone denied' message that already halts the motor — no new logic, just one more action on that event. Panel-mount + screw terminal matches the E-stop and push buttons already on the panel.</t>
  </si>
  <si>
    <t xml:space="preserve">Power</t>
  </si>
  <si>
    <t xml:space="preserve">DIN-Rail Power Supply</t>
  </si>
  <si>
    <t xml:space="preserve">24V DC regulated SMPS, DIN-rail mount, e.g. Mean Well MDR-40-24</t>
  </si>
  <si>
    <t xml:space="preserve">Supplies clean, regulated 24V to the controller, RFID reader, and relays</t>
  </si>
  <si>
    <t xml:space="preserve">DIN rail mount, screw terminal input and output</t>
  </si>
  <si>
    <t xml:space="preserve">Mean Well HDR-30-24 (more compact)</t>
  </si>
  <si>
    <t xml:space="preserve">A DIN-rail industrial supply is plug-and-play and matches the rest of the panel, instead of a bare transformer and rectifier circuit that needs to be built and tested.</t>
  </si>
  <si>
    <t xml:space="preserve">Enclosure &amp; Wiring</t>
  </si>
  <si>
    <t xml:space="preserve">IP65 Junction Enclosure</t>
  </si>
  <si>
    <t xml:space="preserve">ABS enclosure, IP65 rated, approx. 200 x 150 x 100mm</t>
  </si>
  <si>
    <t xml:space="preserve">Houses the controller, power supply, relays, and terminal blocks</t>
  </si>
  <si>
    <t xml:space="preserve">Wall or chassis mounted</t>
  </si>
  <si>
    <t xml:space="preserve">Custom Fusion 360-designed and 3D-printed enclosure</t>
  </si>
  <si>
    <t xml:space="preserve">An off-the-shelf enclosure gets you to the July 20 deadline. The custom Fusion 360 enclosure can be finished afterward as a version-2 upgrade without blocking the deadline.</t>
  </si>
  <si>
    <t xml:space="preserve">DIN-Rail Terminal Block Set</t>
  </si>
  <si>
    <t xml:space="preserve">10A screw-terminal blocks, DIN-rail mount, set of 10</t>
  </si>
  <si>
    <t xml:space="preserve">Distributes wiring cleanly between buttons, RFID reader, controller, and power supply</t>
  </si>
  <si>
    <t xml:space="preserve">DIN rail mount</t>
  </si>
  <si>
    <t xml:space="preserve">Not required if using an all-in-one controller like EQSP32</t>
  </si>
  <si>
    <t xml:space="preserve">Keeps every connection in the panel screw-based — no soldering anywhere in the build.</t>
  </si>
  <si>
    <t xml:space="preserve">DIN Rail + Mounting Hardware</t>
  </si>
  <si>
    <t xml:space="preserve">35mm steel DIN rail, 20cm length, with end clips and screws</t>
  </si>
  <si>
    <t xml:space="preserve">Mounting backbone that all DIN-rail modules clip onto</t>
  </si>
  <si>
    <t xml:space="preserve">Screwed inside the enclosure</t>
  </si>
  <si>
    <t xml:space="preserve">-</t>
  </si>
  <si>
    <t xml:space="preserve">Standard industrial mounting size — every DIN-rail part above clips onto this without extra brackets.</t>
  </si>
  <si>
    <t xml:space="preserve">Total</t>
  </si>
  <si>
    <t xml:space="preserve">Notes:</t>
  </si>
  <si>
    <t xml:space="preserve">1. RFID Floor Tags quantity is set to 4 as an example (one per door/junction) — change this to match the real number of doors on your floor.</t>
  </si>
  <si>
    <t xml:space="preserve">2. Prices are approximate placeholders in Indian Rupees for planning the budget — check current prices with your chosen supplier before ordering.</t>
  </si>
  <si>
    <t xml:space="preserve">3. Motor driver is intentionally not in this BOM — add it back once you finalize how the motor itself is being driven.</t>
  </si>
  <si>
    <t xml:space="preserve">4. The MQTT broker (e.g. Mosquitto) is free software, not a hardware line item — it can run on a laptop, Raspberry Pi, or a cloud server.</t>
  </si>
  <si>
    <t xml:space="preserve">5. Display and Buzzer both trigger off the same MQTT zone-lock 'denied' event that halts the motor — no separate communication logic needed for them.</t>
  </si>
  <si>
    <t xml:space="preserve">6. Buy Link column is intentionally left blank for you to fill in once you finalize each supplier.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</si>
</sst>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Rs.&quot;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44444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4" min="4" style="0" width="34"/>
    <col collapsed="false" customWidth="true" hidden="false" outlineLevel="0" max="5" min="5" style="0" width="6"/>
    <col collapsed="false" customWidth="true" hidden="false" outlineLevel="0" max="7" min="6" style="0" width="13"/>
    <col collapsed="false" customWidth="true" hidden="false" outlineLevel="0" max="8" min="8" style="0" width="32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26"/>
    <col collapsed="false" customWidth="true" hidden="false" outlineLevel="0" max="12" min="12" style="0" width="4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60" hidden="false" customHeight="true" outlineLevel="0" collapsed="false">
      <c r="A5" s="4" t="n">
        <v>1</v>
      </c>
      <c r="B5" s="5" t="s">
        <v>14</v>
      </c>
      <c r="C5" s="5" t="s">
        <v>15</v>
      </c>
      <c r="D5" s="5" t="s">
        <v>16</v>
      </c>
      <c r="E5" s="4" t="n">
        <v>1</v>
      </c>
      <c r="F5" s="6" t="n">
        <v>250</v>
      </c>
      <c r="G5" s="6" t="n">
        <f aca="false">E5*F5</f>
        <v>250</v>
      </c>
      <c r="H5" s="5" t="s">
        <v>17</v>
      </c>
      <c r="I5" s="5" t="s">
        <v>18</v>
      </c>
      <c r="J5" s="5"/>
      <c r="K5" s="5" t="s">
        <v>19</v>
      </c>
      <c r="L5" s="5" t="s">
        <v>20</v>
      </c>
    </row>
    <row r="6" customFormat="false" ht="60" hidden="false" customHeight="true" outlineLevel="0" collapsed="false">
      <c r="A6" s="4" t="n">
        <v>2</v>
      </c>
      <c r="B6" s="5" t="s">
        <v>14</v>
      </c>
      <c r="C6" s="5" t="s">
        <v>21</v>
      </c>
      <c r="D6" s="5" t="s">
        <v>16</v>
      </c>
      <c r="E6" s="4" t="n">
        <v>1</v>
      </c>
      <c r="F6" s="6" t="n">
        <v>250</v>
      </c>
      <c r="G6" s="6" t="n">
        <f aca="false">E6*F6</f>
        <v>250</v>
      </c>
      <c r="H6" s="5" t="s">
        <v>22</v>
      </c>
      <c r="I6" s="5" t="s">
        <v>18</v>
      </c>
      <c r="J6" s="5"/>
      <c r="K6" s="5" t="s">
        <v>19</v>
      </c>
      <c r="L6" s="5" t="s">
        <v>23</v>
      </c>
    </row>
    <row r="7" customFormat="false" ht="60" hidden="false" customHeight="true" outlineLevel="0" collapsed="false">
      <c r="A7" s="4" t="n">
        <v>3</v>
      </c>
      <c r="B7" s="5" t="s">
        <v>24</v>
      </c>
      <c r="C7" s="5" t="s">
        <v>25</v>
      </c>
      <c r="D7" s="5" t="s">
        <v>26</v>
      </c>
      <c r="E7" s="4" t="n">
        <v>1</v>
      </c>
      <c r="F7" s="6" t="n">
        <v>350</v>
      </c>
      <c r="G7" s="6" t="n">
        <f aca="false">E7*F7</f>
        <v>350</v>
      </c>
      <c r="H7" s="5" t="s">
        <v>27</v>
      </c>
      <c r="I7" s="5" t="s">
        <v>28</v>
      </c>
      <c r="J7" s="5"/>
      <c r="K7" s="5" t="s">
        <v>29</v>
      </c>
      <c r="L7" s="5" t="s">
        <v>30</v>
      </c>
    </row>
    <row r="8" customFormat="false" ht="60" hidden="false" customHeight="true" outlineLevel="0" collapsed="false">
      <c r="A8" s="4" t="n">
        <v>4</v>
      </c>
      <c r="B8" s="5" t="s">
        <v>31</v>
      </c>
      <c r="C8" s="5" t="s">
        <v>32</v>
      </c>
      <c r="D8" s="5" t="s">
        <v>33</v>
      </c>
      <c r="E8" s="4" t="n">
        <v>1</v>
      </c>
      <c r="F8" s="6" t="n">
        <v>1200</v>
      </c>
      <c r="G8" s="6" t="n">
        <f aca="false">E8*F8</f>
        <v>1200</v>
      </c>
      <c r="H8" s="5" t="s">
        <v>34</v>
      </c>
      <c r="I8" s="5" t="s">
        <v>35</v>
      </c>
      <c r="J8" s="5"/>
      <c r="K8" s="5" t="s">
        <v>36</v>
      </c>
      <c r="L8" s="5" t="s">
        <v>37</v>
      </c>
    </row>
    <row r="9" customFormat="false" ht="60" hidden="false" customHeight="true" outlineLevel="0" collapsed="false">
      <c r="A9" s="4" t="n">
        <v>5</v>
      </c>
      <c r="B9" s="5" t="s">
        <v>38</v>
      </c>
      <c r="C9" s="5" t="s">
        <v>39</v>
      </c>
      <c r="D9" s="5" t="s">
        <v>40</v>
      </c>
      <c r="E9" s="4" t="n">
        <v>1</v>
      </c>
      <c r="F9" s="6" t="n">
        <v>1200</v>
      </c>
      <c r="G9" s="6" t="n">
        <f aca="false">E9*F9</f>
        <v>1200</v>
      </c>
      <c r="H9" s="5" t="s">
        <v>41</v>
      </c>
      <c r="I9" s="5" t="s">
        <v>42</v>
      </c>
      <c r="J9" s="5"/>
      <c r="K9" s="5" t="s">
        <v>43</v>
      </c>
      <c r="L9" s="5" t="s">
        <v>44</v>
      </c>
    </row>
    <row r="10" customFormat="false" ht="60" hidden="false" customHeight="true" outlineLevel="0" collapsed="false">
      <c r="A10" s="4" t="n">
        <v>6</v>
      </c>
      <c r="B10" s="5" t="s">
        <v>38</v>
      </c>
      <c r="C10" s="5" t="s">
        <v>45</v>
      </c>
      <c r="D10" s="5" t="s">
        <v>46</v>
      </c>
      <c r="E10" s="4" t="n">
        <v>4</v>
      </c>
      <c r="F10" s="6" t="n">
        <v>40</v>
      </c>
      <c r="G10" s="6" t="n">
        <f aca="false">E10*F10</f>
        <v>160</v>
      </c>
      <c r="H10" s="5" t="s">
        <v>47</v>
      </c>
      <c r="I10" s="5" t="s">
        <v>48</v>
      </c>
      <c r="J10" s="5"/>
      <c r="K10" s="5" t="s">
        <v>49</v>
      </c>
      <c r="L10" s="5" t="s">
        <v>50</v>
      </c>
    </row>
    <row r="11" customFormat="false" ht="60" hidden="false" customHeight="true" outlineLevel="0" collapsed="false">
      <c r="A11" s="4" t="n">
        <v>7</v>
      </c>
      <c r="B11" s="5" t="s">
        <v>51</v>
      </c>
      <c r="C11" s="5" t="s">
        <v>52</v>
      </c>
      <c r="D11" s="5" t="s">
        <v>53</v>
      </c>
      <c r="E11" s="4" t="n">
        <v>1</v>
      </c>
      <c r="F11" s="6" t="n">
        <v>300</v>
      </c>
      <c r="G11" s="6" t="n">
        <f aca="false">E11*F11</f>
        <v>300</v>
      </c>
      <c r="H11" s="5" t="s">
        <v>54</v>
      </c>
      <c r="I11" s="5" t="s">
        <v>55</v>
      </c>
      <c r="J11" s="5"/>
      <c r="K11" s="5" t="s">
        <v>56</v>
      </c>
      <c r="L11" s="5" t="s">
        <v>57</v>
      </c>
    </row>
    <row r="12" customFormat="false" ht="60" hidden="false" customHeight="true" outlineLevel="0" collapsed="false">
      <c r="A12" s="4" t="n">
        <v>8</v>
      </c>
      <c r="B12" s="5" t="s">
        <v>58</v>
      </c>
      <c r="C12" s="5" t="s">
        <v>59</v>
      </c>
      <c r="D12" s="5" t="s">
        <v>60</v>
      </c>
      <c r="E12" s="4" t="n">
        <v>1</v>
      </c>
      <c r="F12" s="6" t="n">
        <v>400</v>
      </c>
      <c r="G12" s="6" t="n">
        <f aca="false">E12*F12</f>
        <v>400</v>
      </c>
      <c r="H12" s="5" t="s">
        <v>61</v>
      </c>
      <c r="I12" s="5" t="s">
        <v>62</v>
      </c>
      <c r="J12" s="5"/>
      <c r="K12" s="5" t="s">
        <v>63</v>
      </c>
      <c r="L12" s="5" t="s">
        <v>64</v>
      </c>
    </row>
    <row r="13" customFormat="false" ht="60" hidden="false" customHeight="true" outlineLevel="0" collapsed="false">
      <c r="A13" s="4" t="n">
        <v>9</v>
      </c>
      <c r="B13" s="5" t="s">
        <v>65</v>
      </c>
      <c r="C13" s="5" t="s">
        <v>66</v>
      </c>
      <c r="D13" s="5" t="s">
        <v>67</v>
      </c>
      <c r="E13" s="4" t="n">
        <v>1</v>
      </c>
      <c r="F13" s="6" t="n">
        <v>1400</v>
      </c>
      <c r="G13" s="6" t="n">
        <f aca="false">E13*F13</f>
        <v>1400</v>
      </c>
      <c r="H13" s="5" t="s">
        <v>68</v>
      </c>
      <c r="I13" s="5" t="s">
        <v>69</v>
      </c>
      <c r="J13" s="5"/>
      <c r="K13" s="5" t="s">
        <v>70</v>
      </c>
      <c r="L13" s="5" t="s">
        <v>71</v>
      </c>
    </row>
    <row r="14" customFormat="false" ht="60" hidden="false" customHeight="true" outlineLevel="0" collapsed="false">
      <c r="A14" s="4" t="n">
        <v>10</v>
      </c>
      <c r="B14" s="5" t="s">
        <v>72</v>
      </c>
      <c r="C14" s="5" t="s">
        <v>73</v>
      </c>
      <c r="D14" s="5" t="s">
        <v>74</v>
      </c>
      <c r="E14" s="4" t="n">
        <v>1</v>
      </c>
      <c r="F14" s="6" t="n">
        <v>900</v>
      </c>
      <c r="G14" s="6" t="n">
        <f aca="false">E14*F14</f>
        <v>900</v>
      </c>
      <c r="H14" s="5" t="s">
        <v>75</v>
      </c>
      <c r="I14" s="5" t="s">
        <v>76</v>
      </c>
      <c r="J14" s="5"/>
      <c r="K14" s="5" t="s">
        <v>77</v>
      </c>
      <c r="L14" s="5" t="s">
        <v>78</v>
      </c>
    </row>
    <row r="15" customFormat="false" ht="60" hidden="false" customHeight="true" outlineLevel="0" collapsed="false">
      <c r="A15" s="4" t="n">
        <v>11</v>
      </c>
      <c r="B15" s="5" t="s">
        <v>72</v>
      </c>
      <c r="C15" s="5" t="s">
        <v>79</v>
      </c>
      <c r="D15" s="5" t="s">
        <v>80</v>
      </c>
      <c r="E15" s="4" t="n">
        <v>1</v>
      </c>
      <c r="F15" s="6" t="n">
        <v>300</v>
      </c>
      <c r="G15" s="6" t="n">
        <f aca="false">E15*F15</f>
        <v>300</v>
      </c>
      <c r="H15" s="5" t="s">
        <v>81</v>
      </c>
      <c r="I15" s="5" t="s">
        <v>82</v>
      </c>
      <c r="J15" s="5"/>
      <c r="K15" s="5" t="s">
        <v>83</v>
      </c>
      <c r="L15" s="5" t="s">
        <v>84</v>
      </c>
    </row>
    <row r="16" customFormat="false" ht="60" hidden="false" customHeight="true" outlineLevel="0" collapsed="false">
      <c r="A16" s="4" t="n">
        <v>12</v>
      </c>
      <c r="B16" s="5" t="s">
        <v>72</v>
      </c>
      <c r="C16" s="5" t="s">
        <v>85</v>
      </c>
      <c r="D16" s="5" t="s">
        <v>86</v>
      </c>
      <c r="E16" s="4" t="n">
        <v>1</v>
      </c>
      <c r="F16" s="6" t="n">
        <v>150</v>
      </c>
      <c r="G16" s="6" t="n">
        <f aca="false">E16*F16</f>
        <v>150</v>
      </c>
      <c r="H16" s="5" t="s">
        <v>87</v>
      </c>
      <c r="I16" s="5" t="s">
        <v>88</v>
      </c>
      <c r="J16" s="5"/>
      <c r="K16" s="5" t="s">
        <v>89</v>
      </c>
      <c r="L16" s="5" t="s">
        <v>90</v>
      </c>
    </row>
    <row r="17" customFormat="false" ht="18" hidden="false" customHeight="true" outlineLevel="0" collapsed="false">
      <c r="F17" s="7" t="s">
        <v>91</v>
      </c>
      <c r="G17" s="8" t="n">
        <f aca="false">SUM(G5:G16)</f>
        <v>6860</v>
      </c>
    </row>
    <row r="19" customFormat="false" ht="15" hidden="false" customHeight="false" outlineLevel="0" collapsed="false">
      <c r="A19" s="9" t="s">
        <v>92</v>
      </c>
    </row>
    <row r="20" customFormat="false" ht="15" hidden="false" customHeight="true" outlineLevel="0" collapsed="false">
      <c r="A20" s="10" t="s">
        <v>93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customFormat="false" ht="15" hidden="false" customHeight="true" outlineLevel="0" collapsed="false">
      <c r="A21" s="10" t="s">
        <v>94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customFormat="false" ht="15" hidden="false" customHeight="true" outlineLevel="0" collapsed="false">
      <c r="A22" s="10" t="s">
        <v>95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customFormat="false" ht="15" hidden="false" customHeight="true" outlineLevel="0" collapsed="false">
      <c r="A23" s="10" t="s">
        <v>96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customFormat="false" ht="15" hidden="false" customHeight="true" outlineLevel="0" collapsed="false">
      <c r="A24" s="10" t="s">
        <v>97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customFormat="false" ht="15" hidden="false" customHeight="true" outlineLevel="0" collapsed="false">
      <c r="A25" s="10" t="s">
        <v>98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</row>
  </sheetData>
  <mergeCells count="8">
    <mergeCell ref="A1:L1"/>
    <mergeCell ref="A2:L2"/>
    <mergeCell ref="A20:L20"/>
    <mergeCell ref="A21:L21"/>
    <mergeCell ref="A22:L22"/>
    <mergeCell ref="A23:L23"/>
    <mergeCell ref="A24:L24"/>
    <mergeCell ref="A25:L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2026-07-18T16:02:13Z</dcterms:created>
  <dc:creator>openpyxl</dc:creator>
  <dc:description/>
  <dc:language>en-US</dc:language>
  <cp:lastModifiedBy/>
  <dcterms:modified xsi:type="dcterms:W3CDTF">2026-07-18T16:02:13Z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